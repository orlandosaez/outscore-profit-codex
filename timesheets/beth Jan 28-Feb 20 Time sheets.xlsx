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Outscore/Outscore/Staff/Beth McGuire/"/>
    </mc:Choice>
  </mc:AlternateContent>
  <xr:revisionPtr revIDLastSave="0" documentId="8_{C89837D2-B883-1941-A338-A666C94B1BF0}" xr6:coauthVersionLast="47" xr6:coauthVersionMax="47" xr10:uidLastSave="{00000000-0000-0000-0000-000000000000}"/>
  <bookViews>
    <workbookView xWindow="11160" yWindow="1480" windowWidth="21980" windowHeight="17100" xr2:uid="{34FE2BA6-B3FF-41CE-9BB2-1D124ACD8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4" i="1" l="1"/>
  <c r="H73" i="1"/>
  <c r="F74" i="1"/>
  <c r="F73" i="1"/>
  <c r="F71" i="1"/>
  <c r="H71" i="1" s="1"/>
</calcChain>
</file>

<file path=xl/sharedStrings.xml><?xml version="1.0" encoding="utf-8"?>
<sst xmlns="http://schemas.openxmlformats.org/spreadsheetml/2006/main" count="90" uniqueCount="30">
  <si>
    <t>Kar kraft Auto Repair</t>
  </si>
  <si>
    <t>Payroll Tax Deposit</t>
  </si>
  <si>
    <t>Kar kraft Services</t>
  </si>
  <si>
    <t>1415 Cortez Rd</t>
  </si>
  <si>
    <t>6712 Manatee Ave</t>
  </si>
  <si>
    <t>E &amp; O Automotive</t>
  </si>
  <si>
    <t>Merlin Trucking</t>
  </si>
  <si>
    <t>ADP Payroll Setup</t>
  </si>
  <si>
    <t>Payroll</t>
  </si>
  <si>
    <t>Noah Hornauer</t>
  </si>
  <si>
    <t>Personal Tax Return</t>
  </si>
  <si>
    <t>Correct  BOA Feeds</t>
  </si>
  <si>
    <t>Jan Bookkeeping</t>
  </si>
  <si>
    <t>Axcess troubleshooting</t>
  </si>
  <si>
    <t>SBc</t>
  </si>
  <si>
    <t>CCh Axcess Laura</t>
  </si>
  <si>
    <t>Outscore Meeting</t>
  </si>
  <si>
    <t>Total</t>
  </si>
  <si>
    <t>Celtic Autowerks</t>
  </si>
  <si>
    <t>Financials</t>
  </si>
  <si>
    <t>For sale</t>
  </si>
  <si>
    <t>YV PSL</t>
  </si>
  <si>
    <t>Ancom</t>
  </si>
  <si>
    <t>Census</t>
  </si>
  <si>
    <t>Ancome</t>
  </si>
  <si>
    <t>Beth McGuire</t>
  </si>
  <si>
    <t>Time Sheet</t>
  </si>
  <si>
    <t>Jan 27 to Feb 20</t>
  </si>
  <si>
    <t>billable hours</t>
  </si>
  <si>
    <t>admin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</si>
</sst>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5B34-5B9D-46C8-9973-A15020E32A5D}">
  <dimension ref="A1:H74"/>
  <sheetViews>
    <sheetView tabSelected="1" topLeftCell="A61" workbookViewId="0">
      <selection activeCell="H74" sqref="H74"/>
    </sheetView>
  </sheetViews>
  <sheetFormatPr baseColWidth="10" defaultColWidth="8.83203125" defaultRowHeight="15" x14ac:dyDescent="0.2"/>
  <sheetData>
    <row r="1" spans="1:6" x14ac:dyDescent="0.2">
      <c r="A1" t="s">
        <v>25</v>
      </c>
    </row>
    <row r="2" spans="1:6" x14ac:dyDescent="0.2">
      <c r="A2" t="s">
        <v>26</v>
      </c>
    </row>
    <row r="3" spans="1:6" x14ac:dyDescent="0.2">
      <c r="A3" t="s">
        <v>27</v>
      </c>
    </row>
    <row r="5" spans="1:6" x14ac:dyDescent="0.2">
      <c r="A5" s="1">
        <v>46049</v>
      </c>
      <c r="B5" t="s">
        <v>14</v>
      </c>
      <c r="E5" t="s">
        <v>15</v>
      </c>
      <c r="F5">
        <v>2</v>
      </c>
    </row>
    <row r="6" spans="1:6" ht="16.5" customHeight="1" x14ac:dyDescent="0.2">
      <c r="A6" s="1">
        <v>46050</v>
      </c>
      <c r="B6" t="s">
        <v>0</v>
      </c>
      <c r="E6" t="s">
        <v>7</v>
      </c>
      <c r="F6">
        <v>2</v>
      </c>
    </row>
    <row r="7" spans="1:6" ht="16.5" customHeight="1" x14ac:dyDescent="0.2">
      <c r="A7" s="1"/>
      <c r="B7" t="s">
        <v>2</v>
      </c>
      <c r="E7" t="s">
        <v>7</v>
      </c>
      <c r="F7">
        <v>2</v>
      </c>
    </row>
    <row r="8" spans="1:6" ht="16.5" customHeight="1" x14ac:dyDescent="0.2">
      <c r="A8" s="1"/>
    </row>
    <row r="9" spans="1:6" x14ac:dyDescent="0.2">
      <c r="A9" s="1">
        <v>46051</v>
      </c>
    </row>
    <row r="10" spans="1:6" x14ac:dyDescent="0.2">
      <c r="A10" s="1">
        <v>46052</v>
      </c>
    </row>
    <row r="11" spans="1:6" x14ac:dyDescent="0.2">
      <c r="A11" s="1">
        <v>46053</v>
      </c>
    </row>
    <row r="12" spans="1:6" x14ac:dyDescent="0.2">
      <c r="A12" s="1">
        <v>46054</v>
      </c>
      <c r="B12" t="s">
        <v>0</v>
      </c>
      <c r="D12" t="s">
        <v>1</v>
      </c>
      <c r="F12">
        <v>0.33</v>
      </c>
    </row>
    <row r="13" spans="1:6" x14ac:dyDescent="0.2">
      <c r="A13" s="1"/>
      <c r="B13" t="s">
        <v>2</v>
      </c>
      <c r="D13" t="s">
        <v>1</v>
      </c>
      <c r="F13">
        <v>0.75</v>
      </c>
    </row>
    <row r="14" spans="1:6" x14ac:dyDescent="0.2">
      <c r="A14" s="1"/>
      <c r="B14" t="s">
        <v>3</v>
      </c>
      <c r="D14" t="s">
        <v>1</v>
      </c>
      <c r="F14">
        <v>0.33</v>
      </c>
    </row>
    <row r="15" spans="1:6" x14ac:dyDescent="0.2">
      <c r="A15" s="1"/>
      <c r="B15" t="s">
        <v>4</v>
      </c>
      <c r="D15" t="s">
        <v>1</v>
      </c>
      <c r="F15">
        <v>0.33</v>
      </c>
    </row>
    <row r="16" spans="1:6" x14ac:dyDescent="0.2">
      <c r="A16" s="1"/>
      <c r="B16" t="s">
        <v>5</v>
      </c>
      <c r="D16" t="s">
        <v>1</v>
      </c>
      <c r="F16">
        <v>0.33</v>
      </c>
    </row>
    <row r="17" spans="1:6" x14ac:dyDescent="0.2">
      <c r="A17" s="1"/>
      <c r="B17" t="s">
        <v>6</v>
      </c>
      <c r="D17" t="s">
        <v>1</v>
      </c>
      <c r="F17">
        <v>0.5</v>
      </c>
    </row>
    <row r="18" spans="1:6" x14ac:dyDescent="0.2">
      <c r="A18" s="1"/>
    </row>
    <row r="19" spans="1:6" x14ac:dyDescent="0.2">
      <c r="A19" s="1">
        <v>46055</v>
      </c>
      <c r="B19" t="s">
        <v>0</v>
      </c>
      <c r="D19" t="s">
        <v>8</v>
      </c>
      <c r="F19">
        <v>0.25</v>
      </c>
    </row>
    <row r="20" spans="1:6" x14ac:dyDescent="0.2">
      <c r="A20" s="1"/>
      <c r="B20" t="s">
        <v>2</v>
      </c>
      <c r="D20" t="s">
        <v>8</v>
      </c>
      <c r="F20">
        <v>0.25</v>
      </c>
    </row>
    <row r="21" spans="1:6" x14ac:dyDescent="0.2">
      <c r="A21" s="1">
        <v>46056</v>
      </c>
      <c r="B21" t="s">
        <v>16</v>
      </c>
      <c r="F21">
        <v>0.5</v>
      </c>
    </row>
    <row r="22" spans="1:6" x14ac:dyDescent="0.2">
      <c r="A22" s="1">
        <v>46057</v>
      </c>
      <c r="B22" t="s">
        <v>16</v>
      </c>
      <c r="F22">
        <v>1.5</v>
      </c>
    </row>
    <row r="23" spans="1:6" x14ac:dyDescent="0.2">
      <c r="A23" s="1">
        <v>46058</v>
      </c>
    </row>
    <row r="24" spans="1:6" x14ac:dyDescent="0.2">
      <c r="A24" s="1">
        <v>46059</v>
      </c>
      <c r="B24" t="s">
        <v>0</v>
      </c>
      <c r="D24" t="s">
        <v>11</v>
      </c>
      <c r="F24">
        <v>0.5</v>
      </c>
    </row>
    <row r="25" spans="1:6" x14ac:dyDescent="0.2">
      <c r="A25" s="1"/>
      <c r="B25" t="s">
        <v>2</v>
      </c>
      <c r="D25" t="s">
        <v>11</v>
      </c>
      <c r="F25">
        <v>0.5</v>
      </c>
    </row>
    <row r="26" spans="1:6" x14ac:dyDescent="0.2">
      <c r="A26" s="1"/>
      <c r="B26" t="s">
        <v>3</v>
      </c>
      <c r="D26" t="s">
        <v>11</v>
      </c>
      <c r="F26">
        <v>0.5</v>
      </c>
    </row>
    <row r="27" spans="1:6" x14ac:dyDescent="0.2">
      <c r="A27" s="1"/>
      <c r="B27" t="s">
        <v>4</v>
      </c>
      <c r="D27" t="s">
        <v>11</v>
      </c>
      <c r="F27">
        <v>0.5</v>
      </c>
    </row>
    <row r="28" spans="1:6" x14ac:dyDescent="0.2">
      <c r="A28" s="1"/>
      <c r="B28" t="s">
        <v>5</v>
      </c>
      <c r="D28" t="s">
        <v>11</v>
      </c>
      <c r="F28">
        <v>0.5</v>
      </c>
    </row>
    <row r="29" spans="1:6" x14ac:dyDescent="0.2">
      <c r="A29" s="1"/>
      <c r="B29" t="s">
        <v>22</v>
      </c>
      <c r="D29" t="s">
        <v>23</v>
      </c>
      <c r="F29">
        <v>1</v>
      </c>
    </row>
    <row r="30" spans="1:6" x14ac:dyDescent="0.2">
      <c r="A30" s="1">
        <v>46060</v>
      </c>
    </row>
    <row r="31" spans="1:6" x14ac:dyDescent="0.2">
      <c r="A31" s="1">
        <v>46061</v>
      </c>
    </row>
    <row r="32" spans="1:6" x14ac:dyDescent="0.2">
      <c r="A32" s="1"/>
      <c r="B32" t="s">
        <v>0</v>
      </c>
      <c r="D32" t="s">
        <v>1</v>
      </c>
      <c r="F32">
        <v>0.33</v>
      </c>
    </row>
    <row r="33" spans="1:6" x14ac:dyDescent="0.2">
      <c r="A33" s="1"/>
      <c r="B33" t="s">
        <v>2</v>
      </c>
      <c r="D33" t="s">
        <v>1</v>
      </c>
      <c r="F33">
        <v>0.75</v>
      </c>
    </row>
    <row r="34" spans="1:6" x14ac:dyDescent="0.2">
      <c r="A34" s="1"/>
      <c r="B34" t="s">
        <v>3</v>
      </c>
      <c r="D34" t="s">
        <v>1</v>
      </c>
      <c r="F34">
        <v>0.33</v>
      </c>
    </row>
    <row r="35" spans="1:6" x14ac:dyDescent="0.2">
      <c r="A35" s="1"/>
      <c r="B35" t="s">
        <v>4</v>
      </c>
      <c r="D35" t="s">
        <v>1</v>
      </c>
      <c r="F35">
        <v>0.33</v>
      </c>
    </row>
    <row r="36" spans="1:6" x14ac:dyDescent="0.2">
      <c r="A36" s="1"/>
      <c r="B36" t="s">
        <v>5</v>
      </c>
      <c r="D36" t="s">
        <v>1</v>
      </c>
      <c r="F36">
        <v>0.33</v>
      </c>
    </row>
    <row r="37" spans="1:6" x14ac:dyDescent="0.2">
      <c r="A37" s="1"/>
      <c r="B37" t="s">
        <v>6</v>
      </c>
      <c r="D37" t="s">
        <v>1</v>
      </c>
      <c r="F37">
        <v>0.5</v>
      </c>
    </row>
    <row r="38" spans="1:6" x14ac:dyDescent="0.2">
      <c r="A38" s="1"/>
      <c r="B38" t="s">
        <v>24</v>
      </c>
      <c r="D38" t="s">
        <v>23</v>
      </c>
      <c r="F38">
        <v>0.25</v>
      </c>
    </row>
    <row r="39" spans="1:6" x14ac:dyDescent="0.2">
      <c r="A39" s="1"/>
    </row>
    <row r="40" spans="1:6" x14ac:dyDescent="0.2">
      <c r="A40" s="1"/>
    </row>
    <row r="41" spans="1:6" x14ac:dyDescent="0.2">
      <c r="A41" s="1">
        <v>46062</v>
      </c>
      <c r="B41" t="s">
        <v>0</v>
      </c>
      <c r="D41" t="s">
        <v>12</v>
      </c>
      <c r="F41">
        <v>2.5</v>
      </c>
    </row>
    <row r="42" spans="1:6" x14ac:dyDescent="0.2">
      <c r="A42" s="1"/>
      <c r="B42" t="s">
        <v>2</v>
      </c>
      <c r="D42" t="s">
        <v>12</v>
      </c>
      <c r="F42">
        <v>2.5</v>
      </c>
    </row>
    <row r="43" spans="1:6" x14ac:dyDescent="0.2">
      <c r="A43" s="1">
        <v>46063</v>
      </c>
      <c r="B43" t="s">
        <v>16</v>
      </c>
      <c r="F43">
        <v>0.5</v>
      </c>
    </row>
    <row r="44" spans="1:6" x14ac:dyDescent="0.2">
      <c r="A44" s="1">
        <v>46064</v>
      </c>
    </row>
    <row r="45" spans="1:6" x14ac:dyDescent="0.2">
      <c r="A45" s="1">
        <v>46065</v>
      </c>
    </row>
    <row r="46" spans="1:6" x14ac:dyDescent="0.2">
      <c r="A46" s="1">
        <v>46066</v>
      </c>
    </row>
    <row r="47" spans="1:6" x14ac:dyDescent="0.2">
      <c r="A47" s="1">
        <v>46067</v>
      </c>
    </row>
    <row r="48" spans="1:6" x14ac:dyDescent="0.2">
      <c r="A48" s="1">
        <v>46068</v>
      </c>
      <c r="B48" t="s">
        <v>0</v>
      </c>
      <c r="D48" t="s">
        <v>12</v>
      </c>
      <c r="F48">
        <v>2</v>
      </c>
    </row>
    <row r="49" spans="1:6" x14ac:dyDescent="0.2">
      <c r="A49" s="1"/>
      <c r="B49" t="s">
        <v>2</v>
      </c>
      <c r="D49" t="s">
        <v>12</v>
      </c>
      <c r="F49">
        <v>2</v>
      </c>
    </row>
    <row r="51" spans="1:6" x14ac:dyDescent="0.2">
      <c r="A51" s="1">
        <v>46069</v>
      </c>
      <c r="B51" t="s">
        <v>0</v>
      </c>
      <c r="D51" t="s">
        <v>1</v>
      </c>
      <c r="F51">
        <v>0.33</v>
      </c>
    </row>
    <row r="52" spans="1:6" x14ac:dyDescent="0.2">
      <c r="A52" s="1"/>
      <c r="B52" t="s">
        <v>2</v>
      </c>
      <c r="D52" t="s">
        <v>1</v>
      </c>
      <c r="F52">
        <v>0.75</v>
      </c>
    </row>
    <row r="53" spans="1:6" x14ac:dyDescent="0.2">
      <c r="A53" s="1"/>
      <c r="B53" t="s">
        <v>3</v>
      </c>
      <c r="D53" t="s">
        <v>1</v>
      </c>
      <c r="F53">
        <v>0.33</v>
      </c>
    </row>
    <row r="54" spans="1:6" x14ac:dyDescent="0.2">
      <c r="A54" s="1"/>
      <c r="B54" t="s">
        <v>4</v>
      </c>
      <c r="D54" t="s">
        <v>1</v>
      </c>
      <c r="F54">
        <v>0.33</v>
      </c>
    </row>
    <row r="55" spans="1:6" x14ac:dyDescent="0.2">
      <c r="A55" s="1"/>
      <c r="B55" t="s">
        <v>5</v>
      </c>
      <c r="D55" t="s">
        <v>1</v>
      </c>
      <c r="F55">
        <v>0.32</v>
      </c>
    </row>
    <row r="56" spans="1:6" x14ac:dyDescent="0.2">
      <c r="A56" s="1"/>
      <c r="B56" t="s">
        <v>6</v>
      </c>
      <c r="D56" t="s">
        <v>1</v>
      </c>
      <c r="F56">
        <v>0.5</v>
      </c>
    </row>
    <row r="57" spans="1:6" x14ac:dyDescent="0.2">
      <c r="A57" s="1"/>
      <c r="B57" t="s">
        <v>21</v>
      </c>
      <c r="D57">
        <v>1099</v>
      </c>
      <c r="F57">
        <v>0.25</v>
      </c>
    </row>
    <row r="58" spans="1:6" x14ac:dyDescent="0.2">
      <c r="A58" s="1"/>
    </row>
    <row r="59" spans="1:6" x14ac:dyDescent="0.2">
      <c r="A59" s="1">
        <v>46070</v>
      </c>
      <c r="B59" t="s">
        <v>9</v>
      </c>
      <c r="D59" t="s">
        <v>10</v>
      </c>
      <c r="F59">
        <v>0.5</v>
      </c>
    </row>
    <row r="60" spans="1:6" x14ac:dyDescent="0.2">
      <c r="A60" s="1"/>
      <c r="B60" t="s">
        <v>16</v>
      </c>
      <c r="F60">
        <v>0.5</v>
      </c>
    </row>
    <row r="61" spans="1:6" x14ac:dyDescent="0.2">
      <c r="A61" s="1"/>
      <c r="B61" t="s">
        <v>0</v>
      </c>
      <c r="D61">
        <v>1120</v>
      </c>
      <c r="F61">
        <v>2</v>
      </c>
    </row>
    <row r="62" spans="1:6" x14ac:dyDescent="0.2">
      <c r="A62" s="1"/>
      <c r="B62" t="s">
        <v>2</v>
      </c>
      <c r="D62">
        <v>1120</v>
      </c>
      <c r="F62">
        <v>2</v>
      </c>
    </row>
    <row r="63" spans="1:6" x14ac:dyDescent="0.2">
      <c r="A63" s="1">
        <v>46071</v>
      </c>
      <c r="D63" t="s">
        <v>13</v>
      </c>
      <c r="F63">
        <v>2</v>
      </c>
    </row>
    <row r="64" spans="1:6" x14ac:dyDescent="0.2">
      <c r="A64" s="1"/>
      <c r="B64" t="s">
        <v>0</v>
      </c>
      <c r="D64">
        <v>1120</v>
      </c>
      <c r="F64">
        <v>0.5</v>
      </c>
    </row>
    <row r="65" spans="1:8" x14ac:dyDescent="0.2">
      <c r="A65" s="1"/>
      <c r="B65" t="s">
        <v>2</v>
      </c>
      <c r="D65">
        <v>1120</v>
      </c>
      <c r="F65">
        <v>0.5</v>
      </c>
    </row>
    <row r="66" spans="1:8" x14ac:dyDescent="0.2">
      <c r="A66" s="1"/>
      <c r="B66" t="s">
        <v>18</v>
      </c>
      <c r="D66">
        <v>1120</v>
      </c>
      <c r="F66">
        <v>2</v>
      </c>
    </row>
    <row r="67" spans="1:8" x14ac:dyDescent="0.2">
      <c r="A67" s="1">
        <v>46072</v>
      </c>
      <c r="B67" t="s">
        <v>18</v>
      </c>
      <c r="D67" t="s">
        <v>19</v>
      </c>
      <c r="E67" t="s">
        <v>20</v>
      </c>
      <c r="F67">
        <v>1.55</v>
      </c>
    </row>
    <row r="68" spans="1:8" x14ac:dyDescent="0.2">
      <c r="A68" s="1">
        <v>46073</v>
      </c>
    </row>
    <row r="71" spans="1:8" x14ac:dyDescent="0.2">
      <c r="A71" t="s">
        <v>17</v>
      </c>
      <c r="F71">
        <f>SUM(F5:F70)</f>
        <v>41.249999999999986</v>
      </c>
      <c r="H71">
        <f>F71*45</f>
        <v>1856.2499999999993</v>
      </c>
    </row>
    <row r="73" spans="1:8" x14ac:dyDescent="0.2">
      <c r="D73" t="s">
        <v>28</v>
      </c>
      <c r="F73">
        <f>F71-F60-F43-F22-F21-F5</f>
        <v>36.249999999999986</v>
      </c>
      <c r="H73">
        <f>F73*45</f>
        <v>1631.2499999999993</v>
      </c>
    </row>
    <row r="74" spans="1:8" x14ac:dyDescent="0.2">
      <c r="D74" t="s">
        <v>29</v>
      </c>
      <c r="F74">
        <f>F71-F73</f>
        <v>5</v>
      </c>
      <c r="H74">
        <f>F74*45</f>
        <v>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 McGuire</dc:creator>
  <cp:lastModifiedBy>Orlando Saez</cp:lastModifiedBy>
  <dcterms:created xsi:type="dcterms:W3CDTF">2026-02-20T15:58:34Z</dcterms:created>
  <dcterms:modified xsi:type="dcterms:W3CDTF">2026-03-23T16:15:02Z</dcterms:modified>
</cp:coreProperties>
</file>