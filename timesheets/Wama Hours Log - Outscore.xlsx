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Log Sheet" sheetId="1" r:id="rId5"/>
    <sheet state="visible" name="Detail5" sheetId="2" r:id="rId6"/>
    <sheet state="visible" name="Detail4" sheetId="3" r:id="rId7"/>
    <sheet state="visible" name="Detail2-Collectiv " sheetId="4" r:id="rId8"/>
    <sheet state="visible" name="Detail1" sheetId="5" r:id="rId9"/>
  </sheets>
  <definedNames/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tc={0d55319c-7593-4829-bfbe-bfb17fb0dedd}</author>
    <author>tc={27f9e0f5-f16a-4ff8-b2ac-97d9b579db16}</author>
  </authors>
  <commentList>
    <comment authorId="0" xr:uid="{0d55319c-7593-4829-bfbe-bfb17fb0dedd}" ref="E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@osaez@outscore.com, Hi Orlando, updated the timesheet for 1st Oct to 15th Oct. Cell E119 is the total hours worked.
Assigned to osaez@outscore.com
</t>
      </text>
    </comment>
    <comment authorId="1" xr:uid="{27f9e0f5-f16a-4ff8-b2ac-97d9b579db16}" ref="E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@osaez@outscore.com, Hi Orlando as per discussed updated the timesheet for the hrs worked and billing for the last 2 weeks until 9/30. Cell E93 is the total hours worked.
Assigned to osaez@outscore.com
</t>
      </text>
    </comment>
  </commentList>
</comments>
</file>

<file path=xl/sharedStrings.xml><?xml version="1.0" encoding="utf-8"?>
<sst xmlns="http://schemas.openxmlformats.org/spreadsheetml/2006/main" count="1338" uniqueCount="242">
  <si>
    <t>Customer Name</t>
  </si>
  <si>
    <t>Note / Task</t>
  </si>
  <si>
    <t>Hours</t>
  </si>
  <si>
    <t>Date</t>
  </si>
  <si>
    <t>Total</t>
  </si>
  <si>
    <t>Paid</t>
  </si>
  <si>
    <t xml:space="preserve">Collectiv </t>
  </si>
  <si>
    <t>Working on Collectiv books and discussion with Noelle on future game plan</t>
  </si>
  <si>
    <t>Meeting with Collectiv team for kickoff</t>
  </si>
  <si>
    <t>Meeting with Sahil and Noelle to work on Payroll</t>
  </si>
  <si>
    <t>UPWORK</t>
  </si>
  <si>
    <t>Working on Understanding books for Collectiv in Xero and project works + looking at SOPS for collectiv</t>
  </si>
  <si>
    <t>SUM of Hours</t>
  </si>
  <si>
    <t xml:space="preserve">Internal </t>
  </si>
  <si>
    <t xml:space="preserve">QBD onboarding ; Looking at books in QBD ; </t>
  </si>
  <si>
    <t>Working on studying SOP procedures of Collectiv to work with Noelle</t>
  </si>
  <si>
    <t>Internal</t>
  </si>
  <si>
    <t>JGC</t>
  </si>
  <si>
    <t>Weekly catchup up and starting to look at JGC</t>
  </si>
  <si>
    <t>Call with Noelle and Biljana meeting - 3.5 hrs for cash flow tracker</t>
  </si>
  <si>
    <t>Factoring and Invoice making</t>
  </si>
  <si>
    <t xml:space="preserve">Lighthouse </t>
  </si>
  <si>
    <t>Working on understanding Ramp processes on Collectiv ; call with Noelle for Inboxes</t>
  </si>
  <si>
    <t>Ultimate Transmission</t>
  </si>
  <si>
    <t>Meeting with Biljana and Noelle for roles and responsibilities discussion and meeting with Noelle for Greg's Xero changes in COA</t>
  </si>
  <si>
    <t>Grand Total</t>
  </si>
  <si>
    <t xml:space="preserve">Xero categorisations and changes in COA </t>
  </si>
  <si>
    <t>Outscore meeting</t>
  </si>
  <si>
    <t>Working on Xero changes for collectiv as discussed with Noelle and remaining vendor onboarding tasks</t>
  </si>
  <si>
    <t xml:space="preserve">Worked on Weekly Cash Flow </t>
  </si>
  <si>
    <t xml:space="preserve">Inbox Management Catchup </t>
  </si>
  <si>
    <t>Invoices Making</t>
  </si>
  <si>
    <t xml:space="preserve">Call with Biljana </t>
  </si>
  <si>
    <t>JGC Call with Beth to speak about JGC</t>
  </si>
  <si>
    <t>Understand Deffered Revenue Sheet</t>
  </si>
  <si>
    <t xml:space="preserve">Delivery based Invoices + Xero categorisations </t>
  </si>
  <si>
    <t>Meeting with Sahil for Final Handover</t>
  </si>
  <si>
    <t>Ramp SOP for Collectiv</t>
  </si>
  <si>
    <t>Cash flow update and weekly invoicing</t>
  </si>
  <si>
    <t>Bimonthly Invoicing</t>
  </si>
  <si>
    <t>Correction of July 2025 as per Greg Discussion</t>
  </si>
  <si>
    <t>Factoring of Invoicing</t>
  </si>
  <si>
    <t>Meeting with Greg and working on Xero</t>
  </si>
  <si>
    <t xml:space="preserve">Meeting with Noelle for Lighthouse </t>
  </si>
  <si>
    <t xml:space="preserve">Onboarding and all softwares + Jetpack </t>
  </si>
  <si>
    <t xml:space="preserve">Understanding all clients (an overview) </t>
  </si>
  <si>
    <t xml:space="preserve">ASBJA - Both Companies - Detailed GL review and correcting books and asking for final docs </t>
  </si>
  <si>
    <t>B-1 Management Group, LLC DBA Beaches Construction Company - Detailed GL review and data requirement + Query asked</t>
  </si>
  <si>
    <t>JOZBRONZECO ENTERPRISES INCORPORATED dba UPS Store #6067 AND Store#5856 - Categorisation 500 transactions for both companies</t>
  </si>
  <si>
    <t xml:space="preserve">JOZBRONZECO dba UPS Store #5856 and #6067 - Expenses review </t>
  </si>
  <si>
    <t>Cash Flow tracker update</t>
  </si>
  <si>
    <t>Invoicing - Weekly + Delivery based</t>
  </si>
  <si>
    <t xml:space="preserve">Factoring </t>
  </si>
  <si>
    <t xml:space="preserve">Xero categorisations catchup </t>
  </si>
  <si>
    <t>Chris Huskey Financials - Closed</t>
  </si>
  <si>
    <t xml:space="preserve">JOZBRONZECO dba UPS Store #5856 and #6067 - Revenue match from returns and Bank Categorisations </t>
  </si>
  <si>
    <t xml:space="preserve">Meeting with Michelle </t>
  </si>
  <si>
    <t>Tacos Way - Books review +GL review</t>
  </si>
  <si>
    <t>Tacos Way - Bank reconciliation and cleared uncategorized expenses</t>
  </si>
  <si>
    <t>Tacos Way 2 - Books review and AMA transactions working</t>
  </si>
  <si>
    <t>Tacos Way 2 - Bank Reconciliation</t>
  </si>
  <si>
    <t>Tacos Way 2 - Check payable balances and share queries</t>
  </si>
  <si>
    <t>Tacos Way 3 Books review + GL review</t>
  </si>
  <si>
    <t xml:space="preserve">Outscore Meeting </t>
  </si>
  <si>
    <t>Susan Balk Kradel Books review</t>
  </si>
  <si>
    <t xml:space="preserve">Followup on all clients </t>
  </si>
  <si>
    <t>Tacos Way 3 - Cleared ask my accountant and prepare query sheet sent on Jetpack</t>
  </si>
  <si>
    <t>Tacos Way 3 - Bank reconciliation</t>
  </si>
  <si>
    <t>ASBJA LLC The UPS Store #0827 - Books review, reconciliation and finalised 2024</t>
  </si>
  <si>
    <t>ASBJA PSJ #7841 - Books review, reconciliation and finalised 2024</t>
  </si>
  <si>
    <t>Tacos Way 2- Finalisation of 2024 financials</t>
  </si>
  <si>
    <t>Tacos Way- Missing transactions categorization and bank reconciliation</t>
  </si>
  <si>
    <t>Working on Monthly Invoices</t>
  </si>
  <si>
    <t>09/03/2025 and 09/04/2025</t>
  </si>
  <si>
    <t>UPWORK?</t>
  </si>
  <si>
    <t xml:space="preserve">Weekly invoices </t>
  </si>
  <si>
    <t xml:space="preserve">Data collection, categorisation and BSPL review </t>
  </si>
  <si>
    <t xml:space="preserve">Workings and closing August month </t>
  </si>
  <si>
    <t>Prepayment Schedule and Revenue Recognition sheet</t>
  </si>
  <si>
    <t>Tacos Way- Preparation of CSV for missing transactions (total 1166 )</t>
  </si>
  <si>
    <t>JOZBRONZECO dba UPS Store #5856 - Bank Reconciliation for all accounts</t>
  </si>
  <si>
    <t>Susan Balk Kradel rectify categorization, reconciliation and send query</t>
  </si>
  <si>
    <t>JOZBRONZECO dba UPS Store#6067 - Bank Reconciliation</t>
  </si>
  <si>
    <t>Tacos Way, UPS Store #5856, UPS Store #6067- Review and Submit</t>
  </si>
  <si>
    <t>Beaches Construction Company - Rectify all categorization for 2024</t>
  </si>
  <si>
    <t>Beaches Construction Company - 2023 books review and finalization</t>
  </si>
  <si>
    <t>Review and Closing - Panhandle, Expressit, Myres Park, Rhode Islands and CE Bayners</t>
  </si>
  <si>
    <t>Categorisation of Checking Accounts</t>
  </si>
  <si>
    <t>Categorisation of Checking Accounts - August</t>
  </si>
  <si>
    <t>Action on Querysheet and Reconciliation</t>
  </si>
  <si>
    <t>Ultimate Transmission - Reconciliation August 2025</t>
  </si>
  <si>
    <t>Weekly Outscore call</t>
  </si>
  <si>
    <t xml:space="preserve">Weekly Outscore call </t>
  </si>
  <si>
    <t>Working on Greg's changes in Xero</t>
  </si>
  <si>
    <t xml:space="preserve">Working on Prepayment working </t>
  </si>
  <si>
    <t xml:space="preserve">Weekly Invoices and Cash flow + Factoring </t>
  </si>
  <si>
    <t xml:space="preserve">Weekly Invoices and Cash Flow + Factoring </t>
  </si>
  <si>
    <t xml:space="preserve">Weekly Invoices and Cash Flow + Detailed reco for Rosecrance Customer + Factoring </t>
  </si>
  <si>
    <t xml:space="preserve">Call with Greg and Noelle for Deffered revenue queries </t>
  </si>
  <si>
    <t xml:space="preserve">Working on revised Deffered revenue entries and detailed working for each invoice reco </t>
  </si>
  <si>
    <t xml:space="preserve">Bimonthly Invoicing + Factoring </t>
  </si>
  <si>
    <t xml:space="preserve">Igility Delivery based Invocies + Downpayment Invoices </t>
  </si>
  <si>
    <t xml:space="preserve">Working on client query for invoices </t>
  </si>
  <si>
    <t xml:space="preserve">Inbox management - 30 mins each day for both emails in week  </t>
  </si>
  <si>
    <t xml:space="preserve">Payroll working and call with Noelle </t>
  </si>
  <si>
    <t>PAID 10/19 via QBO</t>
  </si>
  <si>
    <t>Celtic Auto</t>
  </si>
  <si>
    <t>Celtic Auto - Reconciliation - August and September 2025</t>
  </si>
  <si>
    <t>Ultimate Transmission - Reconciliation September 2025</t>
  </si>
  <si>
    <t>Xero Bank Categorization</t>
  </si>
  <si>
    <t>Monthly Invoicing</t>
  </si>
  <si>
    <t>Monthly Invoicing + Factoring</t>
  </si>
  <si>
    <t>Factoring invoice</t>
  </si>
  <si>
    <t>Xero Bank Categorization + weekly Cashflow</t>
  </si>
  <si>
    <t>Weekly Invoicing + Factoring + inbox management</t>
  </si>
  <si>
    <t>Monthly Xero Bank Categorization + inbox management</t>
  </si>
  <si>
    <t>Invoicing + Factoring</t>
  </si>
  <si>
    <t>Zero Bank Import and Categorization + inbox management</t>
  </si>
  <si>
    <t>Revenue Reconciliation</t>
  </si>
  <si>
    <t>Working to Close September 2025 + Inbox management</t>
  </si>
  <si>
    <t>Bank Reconciliation</t>
  </si>
  <si>
    <t>Invoicing + inbox management + factoring</t>
  </si>
  <si>
    <t xml:space="preserve">Working to Close September 2025 </t>
  </si>
  <si>
    <t xml:space="preserve">Factoring + Inbox Management </t>
  </si>
  <si>
    <t>Weekly Invoice + Inbox management</t>
  </si>
  <si>
    <t>Weekly Cash flow + weekly bank categorization</t>
  </si>
  <si>
    <t>Opex review sheet September 2025</t>
  </si>
  <si>
    <t>Working on Noelle and greg query + inbox management</t>
  </si>
  <si>
    <t>Factoring</t>
  </si>
  <si>
    <t>Invoicing + Factoring + Inbox management</t>
  </si>
  <si>
    <t>Reconciliation for September</t>
  </si>
  <si>
    <t>Inbox Management</t>
  </si>
  <si>
    <t>Invoicing (Bi-Monthly)</t>
  </si>
  <si>
    <t>Inbox management + Bi-monthly invoice sending to client</t>
  </si>
  <si>
    <t>Weekly Invoice</t>
  </si>
  <si>
    <t>Weekly Bank categorization and Weekly cashflow</t>
  </si>
  <si>
    <t>Invoicing</t>
  </si>
  <si>
    <t>Bank Categorization (monthly)</t>
  </si>
  <si>
    <t>PAID 11/10 via QBO</t>
  </si>
  <si>
    <t>Celtic Auto - Reconciliation - October 2025</t>
  </si>
  <si>
    <t>Ultimate Transmission - October 2025</t>
  </si>
  <si>
    <t>Learning and Training on Ramp (new procedure)</t>
  </si>
  <si>
    <t xml:space="preserve">Learning and Training on Ramp </t>
  </si>
  <si>
    <t>Working to close October 2025</t>
  </si>
  <si>
    <t>Outscore Meeting Internal</t>
  </si>
  <si>
    <t xml:space="preserve">Outscore Meeting Internal </t>
  </si>
  <si>
    <t>PAID 12/2 via QBO</t>
  </si>
  <si>
    <t xml:space="preserve">JGC </t>
  </si>
  <si>
    <t>Reconciliation for October</t>
  </si>
  <si>
    <t>Bi Monthly invoice send to client and Factoring</t>
  </si>
  <si>
    <t>Meeting with Noelle and Greg</t>
  </si>
  <si>
    <t>Inbox management + Factoring</t>
  </si>
  <si>
    <t>Ramp call with Wama (training) + Inbox Management</t>
  </si>
  <si>
    <t>factoring</t>
  </si>
  <si>
    <t>Meeting with Greg for accounts discussion</t>
  </si>
  <si>
    <t xml:space="preserve">Call for AI training and Outscore Internal call </t>
  </si>
  <si>
    <t>Working to close November 2025</t>
  </si>
  <si>
    <t>Payroll Run</t>
  </si>
  <si>
    <t>Ramp and Inbox Management</t>
  </si>
  <si>
    <t xml:space="preserve">Inbox Management </t>
  </si>
  <si>
    <t>Working to close November 2025 + Solve Noelle Query</t>
  </si>
  <si>
    <t xml:space="preserve">SOP working on Collectiv processes </t>
  </si>
  <si>
    <t>Inbox management + Ramp Rum + Facotring Issue solve</t>
  </si>
  <si>
    <t>Ramp Run</t>
  </si>
  <si>
    <t>Weekly cash flow + weekly bank categorization</t>
  </si>
  <si>
    <t>OPEX review sheet October 2025</t>
  </si>
  <si>
    <t>Factoring and Invoice send</t>
  </si>
  <si>
    <t>Celtic Auto - Reconciliation - November 2025</t>
  </si>
  <si>
    <t>Reconciliation for November</t>
  </si>
  <si>
    <t xml:space="preserve">Weekly Meet </t>
  </si>
  <si>
    <t>SOP for Celtic and Ultimate</t>
  </si>
  <si>
    <t xml:space="preserve">Ramp Run </t>
  </si>
  <si>
    <t xml:space="preserve">Meeting with Greg </t>
  </si>
  <si>
    <t>Paid 1/2/26 via QBO</t>
  </si>
  <si>
    <t>Ultimate Transmission - December 2025</t>
  </si>
  <si>
    <t>&lt;&lt;&lt; is this date correct?</t>
  </si>
  <si>
    <t>Bank Transaction Categorization</t>
  </si>
  <si>
    <t>Bank Transaction Categorization + reconciliation + Inbox Management</t>
  </si>
  <si>
    <t>Working to Close December 2025</t>
  </si>
  <si>
    <t>Recenue Reconciliation</t>
  </si>
  <si>
    <t>Factoring + Meeting With Greg and Noelle</t>
  </si>
  <si>
    <t>Weekly Cash flow + weekly bank categorization + Inbox Management</t>
  </si>
  <si>
    <t>Inbox Managament + Factoring</t>
  </si>
  <si>
    <t xml:space="preserve">SOP For Collectiv in detail </t>
  </si>
  <si>
    <t xml:space="preserve">Meeting with Orlando for training on Financial Cents and SOP </t>
  </si>
  <si>
    <t>Meeting with Orlando and Team</t>
  </si>
  <si>
    <t>AI Training meeting</t>
  </si>
  <si>
    <t>Meeting with Orlando and Beth</t>
  </si>
  <si>
    <t>Paid 2/3 via QBO</t>
  </si>
  <si>
    <t>Working on query of 2025</t>
  </si>
  <si>
    <t>Working on query of 2025 + Call with Noelle and Greg</t>
  </si>
  <si>
    <t>Inbox Management + 2025 close working</t>
  </si>
  <si>
    <t>Jan - 2026 month close  working</t>
  </si>
  <si>
    <t>Ramp Run + Weekly Cashflow + Bank Categorization</t>
  </si>
  <si>
    <t>Revenue reconciliation -2025</t>
  </si>
  <si>
    <t>Call with Greg and Noelle</t>
  </si>
  <si>
    <t>Bank Categorization + Weekly Cash flow</t>
  </si>
  <si>
    <t>Revise Revenue Reconciliation</t>
  </si>
  <si>
    <t>Working on query of 2025 (2025 state wise sales report)</t>
  </si>
  <si>
    <t>Sales Tax</t>
  </si>
  <si>
    <t>Sales Tax Training and filing with Noelle</t>
  </si>
  <si>
    <t xml:space="preserve">Sales Tax Learning and understanding returns </t>
  </si>
  <si>
    <t>Celtic Auto - January 2026</t>
  </si>
  <si>
    <t>Ultimate Transmission - January 2026</t>
  </si>
  <si>
    <t>LJD Performance</t>
  </si>
  <si>
    <t>Reconciliation for January 2026</t>
  </si>
  <si>
    <t xml:space="preserve">JBLD </t>
  </si>
  <si>
    <t>Merlin Trucking</t>
  </si>
  <si>
    <t>Reconciliation for month of August to December 2025</t>
  </si>
  <si>
    <t>Weekly Meeting + 1.1 + Lunch training - Week 1</t>
  </si>
  <si>
    <t>Weekly Meeting + 1.1 + Lunch training - Week 2</t>
  </si>
  <si>
    <t xml:space="preserve">Weekly Meeting + 1.1 + Lunch training - Week 3 </t>
  </si>
  <si>
    <t>Weekly Meeting + 1.1 + Lunch training - Week 4</t>
  </si>
  <si>
    <t>Paid 3/14 QBO</t>
  </si>
  <si>
    <t>Reconciliation for Feb 2026</t>
  </si>
  <si>
    <t>Ramp run + Bank Categorization</t>
  </si>
  <si>
    <t>Weekly Cashflow</t>
  </si>
  <si>
    <t>Fctoring</t>
  </si>
  <si>
    <t>Month CLose Working  - Feb 2026 + Inbox Management</t>
  </si>
  <si>
    <t xml:space="preserve">Ramp run + Bank Categorization + Weekly cashflow + Inbox Management </t>
  </si>
  <si>
    <t xml:space="preserve">Month close working + Inbox Management </t>
  </si>
  <si>
    <t>Revenue reconciliation</t>
  </si>
  <si>
    <t>OPEX review sheet + working on Greg's query</t>
  </si>
  <si>
    <t xml:space="preserve">revenue reconciliation Redo </t>
  </si>
  <si>
    <t xml:space="preserve">Overhead - redo work </t>
  </si>
  <si>
    <t>Inbox Management + Meeting With Greg and Andrea</t>
  </si>
  <si>
    <t>Meeting</t>
  </si>
  <si>
    <t>Sales Tax return + solid and waste tax return</t>
  </si>
  <si>
    <t>The Bachert Law Firm</t>
  </si>
  <si>
    <t>Conversion Balance sheet + Import Bank transaction + Bank Categorization</t>
  </si>
  <si>
    <t>PLEASED DO NOT DELETE</t>
  </si>
  <si>
    <t>Bank Categorization</t>
  </si>
  <si>
    <t>Bank Categorization + query sheet</t>
  </si>
  <si>
    <t>Other clients</t>
  </si>
  <si>
    <t>Northridge Academy LLC</t>
  </si>
  <si>
    <t>Conversion Balance sheet + Import Bank transaction + Bank Categorization for all of 2025 - part 1</t>
  </si>
  <si>
    <t>Bank transactions categorization + Reconciliation</t>
  </si>
  <si>
    <t>Bank Categorization + Ramp Run + Weekly Cashflow</t>
  </si>
  <si>
    <t>Month close working - March 2026</t>
  </si>
  <si>
    <t>Month close working   review + OPEX Review + working in task alloted by Greg on Teams</t>
  </si>
  <si>
    <t>Payroll Run + Inbox Management</t>
  </si>
  <si>
    <t>Factoring + Inbox Management + Payroll Finalized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</si>
</sst>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0.0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164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2" fontId="3" numFmtId="165" xfId="0" applyAlignment="1" applyFont="1" applyNumberFormat="1">
      <alignment readingOrder="0"/>
    </xf>
    <xf borderId="0" fillId="0" fontId="4" numFmtId="166" xfId="0" applyFont="1" applyNumberFormat="1"/>
    <xf borderId="0" fillId="2" fontId="3" numFmtId="0" xfId="0" applyFont="1"/>
    <xf borderId="0" fillId="2" fontId="3" numFmtId="165" xfId="0" applyFont="1" applyNumberFormat="1"/>
    <xf borderId="0" fillId="4" fontId="4" numFmtId="0" xfId="0" applyAlignment="1" applyFill="1" applyFont="1">
      <alignment readingOrder="0"/>
    </xf>
    <xf borderId="0" fillId="4" fontId="4" numFmtId="0" xfId="0" applyFont="1"/>
    <xf borderId="0" fillId="4" fontId="3" numFmtId="0" xfId="0" applyFont="1"/>
    <xf borderId="0" fillId="4" fontId="3" numFmtId="0" xfId="0" applyAlignment="1" applyFont="1">
      <alignment readingOrder="0"/>
    </xf>
    <xf borderId="0" fillId="4" fontId="3" numFmtId="165" xfId="0" applyAlignment="1" applyFont="1" applyNumberFormat="1">
      <alignment readingOrder="0"/>
    </xf>
    <xf borderId="0" fillId="5" fontId="4" numFmtId="166" xfId="0" applyAlignment="1" applyFill="1" applyFont="1" applyNumberFormat="1">
      <alignment readingOrder="0"/>
    </xf>
    <xf borderId="0" fillId="5" fontId="4" numFmtId="0" xfId="0" applyFont="1"/>
    <xf borderId="0" fillId="6" fontId="3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  <xf borderId="0" fillId="7" fontId="4" numFmtId="0" xfId="0" applyAlignment="1" applyFill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5" fontId="4" numFmtId="0" xfId="0" applyAlignment="1" applyFont="1">
      <alignment horizontal="center" readingOrder="0"/>
    </xf>
    <xf borderId="0" fillId="0" fontId="4" numFmtId="0" xfId="0" applyAlignment="1" applyFont="1">
      <alignment horizontal="right"/>
    </xf>
    <xf borderId="0" fillId="0" fontId="4" numFmtId="4" xfId="0" applyFont="1" applyNumberFormat="1"/>
    <xf borderId="0" fillId="0" fontId="4" numFmtId="0" xfId="0" applyAlignment="1" applyFont="1">
      <alignment horizontal="right" readingOrder="0"/>
    </xf>
    <xf borderId="1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6" fillId="0" fontId="4" numFmtId="165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Detail5-style">
      <tableStyleElement dxfId="1" type="headerRow"/>
      <tableStyleElement dxfId="2" type="firstRowStripe"/>
      <tableStyleElement dxfId="3" type="secondRowStripe"/>
    </tableStyle>
    <tableStyle count="3" pivot="0" name="Detail4-style">
      <tableStyleElement dxfId="1" type="headerRow"/>
      <tableStyleElement dxfId="2" type="firstRowStripe"/>
      <tableStyleElement dxfId="3" type="secondRowStripe"/>
    </tableStyle>
    <tableStyle count="3" pivot="0" name="Detail2-Collectiv -style">
      <tableStyleElement dxfId="1" type="headerRow"/>
      <tableStyleElement dxfId="2" type="firstRowStripe"/>
      <tableStyleElement dxfId="3" type="secondRowStripe"/>
    </tableStyle>
    <tableStyle count="3" pivot="0" name="Detail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622a25a4-b27d-45c8-8a22-a6ee64d7bb7a}">
    <Anchor>
      <Comment id="{27f9e0f5-f16a-4ff8-b2ac-97d9b579db16}"/>
    </Anchor>
    <History>
      <Event time="2025-10-01T14:54:09.00" id="{e4b6173a-575c-44f6-ba09-9a9b01f62a39}">
        <Attribution userId="placeholder@email.com" userName="Team" userProvider="google-sheets"/>
        <Anchor>
          <Comment id="{27f9e0f5-f16a-4ff8-b2ac-97d9b579db16}"/>
        </Anchor>
        <Create/>
      </Event>
      <Event time="2025-10-01T14:54:09.00" id="{38c5a810-89d4-413f-b5bd-4e4ffe6d1169}">
        <Attribution userId="placeholder@email.com" userName="Team" userProvider="google-sheets"/>
        <Anchor>
          <Comment id="{27f9e0f5-f16a-4ff8-b2ac-97d9b579db16}"/>
        </Anchor>
        <Assign userId="osaez@outscore.com" userName="osaez@outscore.com" userProvider="google-sheets"/>
      </Event>
    </History>
  </Task>
  <Task id="{59454323-8b26-4b11-bb68-13a161df2712}">
    <Anchor>
      <Comment id="{0d55319c-7593-4829-bfbe-bfb17fb0dedd}"/>
    </Anchor>
    <History>
      <Event time="2025-10-16T15:12:21.00" id="{b773b7fd-b548-43b0-b321-d039884827a5}">
        <Attribution userId="placeholder@email.com" userName="Anonymous" userProvider="google-sheets"/>
        <Anchor>
          <Comment id="{0d55319c-7593-4829-bfbe-bfb17fb0dedd}"/>
        </Anchor>
        <Create/>
      </Event>
      <Event time="2025-10-16T15:12:21.00" id="{ba9221d2-3454-498d-be02-53f6bb28622a}">
        <Attribution userId="placeholder@email.com" userName="Anonymous" userProvider="google-sheets"/>
        <Anchor>
          <Comment id="{0d55319c-7593-4829-bfbe-bfb17fb0dedd}"/>
        </Anchor>
        <Assign userId="osaez@outscore.com" userName="osaez@outscore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ymous" id="{337daa7b-5223-478d-bed4-287cf89182b4}" providerId="google-sheets"/>
  <x18tc:person displayName="osaez@outscore.com" id="{ffc18226-a7f8-41dc-bc24-7a0fc07f3710}" userId="osaez@outscore.com" providerId="google-sheets"/>
  <x18tc:person displayName="Team" id="{3a0919c0-f066-4b59-8683-f463fd3fd119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93" sheet="Time Log Sheet"/>
  </cacheSource>
  <cacheFields>
    <cacheField name="Customer Name" numFmtId="0">
      <sharedItems>
        <s v="Collectiv "/>
        <s v="Internal "/>
        <s v="JGC"/>
        <s v="Lighthouse "/>
        <s v="Ultimate Transmission"/>
        <s v="Internal"/>
      </sharedItems>
    </cacheField>
    <cacheField name="Note / Task" numFmtId="0">
      <sharedItems>
        <s v="Working on Collectiv books and discussion with Noelle on future game plan"/>
        <s v="Meeting with Collectiv team for kickoff"/>
        <s v="Meeting with Sahil and Noelle to work on Payroll"/>
        <s v="Working on Understanding books for Collectiv in Xero and project works + looking at SOPS for collectiv"/>
        <s v="QBD onboarding ; Looking at books in QBD ; "/>
        <s v="Working on studying SOP procedures of Collectiv to work with Noelle"/>
        <s v="Weekly catchup up and starting to look at JGC"/>
        <s v="Call with Noelle and Biljana meeting - 3.5 hrs for cash flow tracker"/>
        <s v="Factoring and Invoice making"/>
        <s v="Working on understanding Ramp processes on Collectiv ; call with Noelle for Inboxes"/>
        <s v="Meeting with Biljana and Noelle for roles and responsibilities discussion and meeting with Noelle for Greg's Xero changes in COA"/>
        <s v="Xero categorisations and changes in COA "/>
        <s v="Outscore meeting"/>
        <s v="Working on Xero changes for collectiv as discussed with Noelle and remaining vendor onboarding tasks"/>
        <s v="Worked on Weekly Cash Flow "/>
        <s v="Inbox Management Catchup "/>
        <s v="Invoices Making"/>
        <s v="Call with Biljana "/>
        <s v="JGC Call with Beth to speak about JGC"/>
        <s v="Understand Deffered Revenue Sheet"/>
        <s v="Delivery based Invoices + Xero categorisations "/>
        <s v="Meeting with Sahil for Final Handover"/>
        <s v="Ramp SOP for Collectiv"/>
        <s v="Cash flow update and weekly invoicing"/>
        <s v="Bimonthly Invoicing"/>
        <s v="Correction of July 2025 as per Greg Discussion"/>
        <s v="Factoring of Invoicing"/>
        <s v="Meeting with Greg and working on Xero"/>
        <s v="Meeting with Noelle for Lighthouse "/>
        <s v="Onboarding and all softwares + Jetpack "/>
        <s v="Understanding all clients (an overview) "/>
        <s v="ASBJA - Both Companies - Detailed GL review and correcting books and asking for final docs "/>
        <s v="B-1 Management Group, LLC DBA Beaches Construction Company - Detailed GL review and data requirement + Query asked"/>
        <s v="JOZBRONZECO ENTERPRISES INCORPORATED dba UPS Store #6067 AND Store#5856 - Categorisation 500 transactions for both companies"/>
        <s v="JOZBRONZECO dba UPS Store #5856 and #6067 - Expenses review "/>
        <s v="Cash Flow tracker update"/>
        <s v="Invoicing - Weekly + Delivery based"/>
        <s v="Factoring "/>
        <s v="Xero categorisations catchup "/>
        <s v="Chris Huskey Financials - Closed"/>
        <s v="JOZBRONZECO dba UPS Store #5856 and #6067 - Revenue match from returns and Bank Categorisations "/>
        <s v="Meeting with Michelle "/>
        <s v="Tacos Way - Books review +GL review"/>
        <s v="Tacos Way - Bank reconciliation and cleared uncategorized expenses"/>
        <s v="Tacos Way 2 - Books review and AMA transactions working"/>
        <s v="Tacos Way 2 - Bank Reconciliation"/>
        <s v="Tacos Way 2 - Check payable balances and share queries"/>
        <s v="Tacos Way 3 Books review + GL review"/>
        <s v="Outscore Meeting "/>
        <s v="Susan Balk Kradel Books review"/>
        <s v="Followup on all clients "/>
        <s v="Tacos Way 3 - Cleared ask my accountant and prepare query sheet sent on Jetpack"/>
        <s v="Tacos Way 3 - Bank reconciliation"/>
        <s v="ASBJA LLC The UPS Store #0827 - Books review, reconciliation and finalised 2024"/>
        <s v="ASBJA PSJ #7841 - Books review, reconciliation and finalised 2024"/>
        <s v="Tacos Way 2- Finalisation of 2024 financials"/>
        <s v="Tacos Way- Missing transactions categorization and bank reconciliation"/>
        <s v="Working on Monthly Invoices"/>
        <s v="Weekly invoices "/>
        <s v="Data collection, categorisation and BSPL review "/>
        <s v="Workings and closing August month "/>
        <s v="Prepayment Schedule and Revenue Recognition sheet"/>
        <s v="Tacos Way- Preparation of CSV for missing transactions (total 1166 )"/>
        <s v="JOZBRONZECO dba UPS Store #5856 - Bank Reconciliation for all accounts"/>
        <s v="Susan Balk Kradel rectify categorization, reconciliation and send query"/>
        <s v="JOZBRONZECO dba UPS Store#6067 - Bank Reconciliation"/>
        <s v="Tacos Way, UPS Store #5856, UPS Store #6067- Review and Submit"/>
        <s v="Beaches Construction Company - Rectify all categorization for 2024"/>
        <s v="Beaches Construction Company - 2023 books review and finalization"/>
        <s v="Review and Closing - Panhandle, Expressit, Myres Park, Rhode Islands and CE Bayners"/>
        <s v="Categorisation of Checking Accounts"/>
        <s v="Categorisation of Checking Accounts - August"/>
        <s v="Action on Querysheet and Reconciliation"/>
        <s v="Ultimate Transmission - Reconciliation August 2025"/>
        <s v="Weekly Outscore call"/>
        <s v="Weekly Outscore call "/>
        <s v="Working on Greg's changes in Xero"/>
        <s v="Working on Prepayment working "/>
        <s v="Weekly Invoices and Cash flow + Factoring "/>
        <s v="Weekly Invoices and Cash Flow + Detailed reco for Rosecrance Customer + Factoring "/>
        <s v="Call with Greg and Noelle for Deffered revenue queries "/>
        <s v="Working on revised Deffered revenue entries and detailed working for each invoice reco "/>
        <s v="Bimonthly Invoicing + Factoring "/>
        <s v="Igility Delivery based Invocies + Downpayment Invoices "/>
        <s v="Working on client query for invoices "/>
        <s v="Inbox management - 30 mins each day for both emails in week  "/>
        <s v="Payroll working and call with Noelle "/>
      </sharedItems>
    </cacheField>
    <cacheField name="Hours" numFmtId="0">
      <sharedItems containsSemiMixedTypes="0" containsString="0" containsNumber="1">
        <n v="3.0"/>
        <n v="1.0"/>
        <n v="1.1"/>
        <n v="2.1"/>
        <n v="0.5"/>
        <n v="1.8"/>
        <n v="3.5"/>
        <n v="1.5"/>
        <n v="2.0"/>
        <n v="1.9"/>
        <n v="0.8"/>
        <n v="1.4"/>
        <n v="4.0"/>
        <n v="0.7"/>
        <n v="0.9"/>
        <n v="3.6"/>
        <n v="1.6"/>
        <n v="0.85"/>
        <n v="5.0"/>
        <n v="2.8"/>
        <n v="3.2"/>
        <n v="1.85"/>
        <n v="1.35"/>
        <n v="2.52"/>
        <n v="3.25"/>
        <n v="7.52"/>
        <n v="0.35"/>
        <n v="2.42"/>
        <n v="3.15"/>
        <n v="4.76"/>
        <n v="1.21"/>
        <n v="1.57"/>
        <n v="2.78"/>
        <n v="1.63"/>
        <n v="0.56"/>
        <n v="2.89"/>
        <n v="2.27"/>
        <n v="4.18"/>
        <n v="3.76"/>
        <n v="2.12"/>
        <n v="8.56"/>
        <n v="9.56"/>
        <n v="2.53"/>
        <n v="2.59"/>
        <n v="3.12"/>
        <n v="5.32"/>
        <n v="8.95"/>
        <n v="9.34"/>
        <n v="3.52"/>
        <n v="2.43"/>
        <n v="2.91"/>
        <n v="4.11"/>
        <n v="6.52"/>
        <n v="6.98"/>
        <n v="3.82"/>
        <n v="2.25"/>
        <n v="2.72"/>
        <n v="1.62"/>
        <n v="0.52"/>
        <n v="0.63"/>
        <n v="1.98"/>
        <n v="1.72"/>
        <n v="4.15"/>
        <n v="4.52"/>
        <n v="5.62"/>
        <n v="5.63"/>
        <n v="3.96"/>
        <n v="0.92"/>
        <n v="0.96"/>
        <n v="2.5"/>
        <n v="1.26"/>
      </sharedItems>
    </cacheField>
    <cacheField name="Date">
      <sharedItems containsDate="1" containsMixedTypes="1">
        <d v="2025-07-22T00:00:00Z"/>
        <d v="2025-07-23T00:00:00Z"/>
        <d v="2025-07-24T00:00:00Z"/>
        <d v="2025-07-28T00:00:00Z"/>
        <d v="2025-07-30T00:00:00Z"/>
        <d v="2025-08-01T00:00:00Z"/>
        <d v="2025-08-04T00:00:00Z"/>
        <d v="2025-08-05T00:00:00Z"/>
        <d v="2025-08-06T00:00:00Z"/>
        <d v="2025-08-08T00:00:00Z"/>
        <d v="2025-08-11T00:00:00Z"/>
        <d v="2025-08-12T00:00:00Z"/>
        <d v="2025-08-14T00:00:00Z"/>
        <d v="2025-08-15T00:00:00Z"/>
        <d v="2025-08-18T00:00:00Z"/>
        <d v="2025-08-21T00:00:00Z"/>
        <d v="2025-08-22T00:00:00Z"/>
        <d v="2025-08-23T00:00:00Z"/>
        <d v="2025-08-25T00:00:00Z"/>
        <d v="2025-08-28T00:00:00Z"/>
        <d v="2025-08-29T00:00:00Z"/>
        <d v="2025-09-02T00:00:00Z"/>
        <d v="2025-09-03T00:00:00Z"/>
        <d v="2025-09-04T00:00:00Z"/>
        <d v="2025-09-05T00:00:00Z"/>
        <s v="09/03/2025 and 09/04/2025"/>
        <d v="2025-09-08T00:00:00Z"/>
        <d v="2025-09-09T00:00:00Z"/>
        <d v="2025-09-11T00:00:00Z"/>
        <d v="2025-09-12T00:00:00Z"/>
        <d v="2025-09-15T00:00:00Z"/>
        <d v="2025-09-18T00:00:00Z"/>
        <d v="2025-09-19T00:00:00Z"/>
        <d v="2025-09-25T00:00:00Z"/>
        <d v="2025-09-22T00:00:00Z"/>
        <d v="2025-09-23T00:00:00Z"/>
        <d v="2025-09-24T00:00:00Z"/>
        <d v="2025-09-29T00:00:00Z"/>
        <d v="2025-09-30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ime Log Sheet" cacheId="0" dataCaption="" compact="0" compactData="0">
  <location ref="G5:H12" firstHeaderRow="0" firstDataRow="1" firstDataCol="0"/>
  <pivotFields>
    <pivotField name="Customer Name" axis="axisRow" compact="0" outline="0" multipleItemSelectionAllowed="1" showAll="0" sortType="ascending">
      <items>
        <item x="0"/>
        <item x="5"/>
        <item x="1"/>
        <item x="2"/>
        <item x="3"/>
        <item x="4"/>
        <item t="default"/>
      </items>
    </pivotField>
    <pivotField name="Note / Ta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0"/>
  </rowFields>
  <dataFields>
    <dataField name="SUM of Hours" fld="2" baseField="0"/>
  </dataFields>
</pivotTableDefinition>
</file>

<file path=xl/tables/table1.xml><?xml version="1.0" encoding="utf-8"?>
<table xmlns="http://schemas.openxmlformats.org/spreadsheetml/2006/main" ref="A1:D93" displayName="Table_1" name="Table_1" id="1">
  <tableColumns count="4">
    <tableColumn name="Customer Name" id="1"/>
    <tableColumn name="Note / Task" id="2"/>
    <tableColumn name="Hours" id="3"/>
    <tableColumn name="Date" id="4"/>
  </tableColumns>
  <tableStyleInfo name="Detail5-style" showColumnStripes="0" showFirstColumn="1" showLastColumn="1" showRowStripes="1"/>
</table>
</file>

<file path=xl/tables/table2.xml><?xml version="1.0" encoding="utf-8"?>
<table xmlns="http://schemas.openxmlformats.org/spreadsheetml/2006/main" ref="A1:D93" displayName="Table_2" name="Table_2" id="2">
  <tableColumns count="4">
    <tableColumn name="Customer Name" id="1"/>
    <tableColumn name="Note / Task" id="2"/>
    <tableColumn name="Hours" id="3"/>
    <tableColumn name="Date" id="4"/>
  </tableColumns>
  <tableStyleInfo name="Detail4-style" showColumnStripes="0" showFirstColumn="1" showLastColumn="1" showRowStripes="1"/>
</table>
</file>

<file path=xl/tables/table3.xml><?xml version="1.0" encoding="utf-8"?>
<table xmlns="http://schemas.openxmlformats.org/spreadsheetml/2006/main" ref="A1:D30" displayName="Table_3" name="Table_3" id="3">
  <tableColumns count="4">
    <tableColumn name="Customer Name" id="1"/>
    <tableColumn name="Note / Task" id="2"/>
    <tableColumn name="Hours" id="3"/>
    <tableColumn name="Date" id="4"/>
  </tableColumns>
  <tableStyleInfo name="Detail2-Collectiv -style" showColumnStripes="0" showFirstColumn="1" showLastColumn="1" showRowStripes="1"/>
</table>
</file>

<file path=xl/tables/table4.xml><?xml version="1.0" encoding="utf-8"?>
<table xmlns="http://schemas.openxmlformats.org/spreadsheetml/2006/main" ref="A1:D53" displayName="Table_4" name="Table_4" id="4">
  <tableColumns count="4">
    <tableColumn name="Customer Name" id="1"/>
    <tableColumn name="Note / Task" id="2"/>
    <tableColumn name="Hours" id="3"/>
    <tableColumn name="Date" id="4"/>
  </tableColumns>
  <tableStyleInfo name="Deta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3" dT="2025-10-01T14:54:09.00" personId="{3a0919c0-f066-4b59-8683-f463fd3fd119}" id="{27f9e0f5-f16a-4ff8-b2ac-97d9b579db16}" done="0">
    <x18tc:text xml:space="preserve">@osaez@outscore.com, Hi Orlando as per discussed updated the timesheet for the hrs worked and billing for the last 2 weeks until 9/30. Cell E93 is the total hours worked.
Assigned to osaez@outscore.com</x18tc:text>
    <x18tc:mentions>
      <x18tc:mention mentionpersonId="{ffc18226-a7f8-41dc-bc24-7a0fc07f3710}" mentionId="{3acf133c-3ba4-477f-a313-28ca5fffb2bc}" startIndex="0" length="19"/>
    </x18tc:mentions>
  </x18tc:threadedComment>
  <x18tc:threadedComment ref="E119" dT="2025-10-16T15:12:21.00" personId="{337daa7b-5223-478d-bed4-287cf89182b4}" id="{0d55319c-7593-4829-bfbe-bfb17fb0dedd}" done="0">
    <x18tc:text xml:space="preserve">@osaez@outscore.com, Hi Orlando, updated the timesheet for 1st Oct to 15th Oct. Cell E119 is the total hours worked.
Assigned to osaez@outscore.com</x18tc:text>
    <x18tc:mentions>
      <x18tc:mention mentionpersonId="{ffc18226-a7f8-41dc-bc24-7a0fc07f3710}" mentionId="{ca1ababd-4213-46bb-9bd4-6ddff36d5f57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58.0"/>
    <col customWidth="1" min="3" max="3" width="9.13"/>
    <col customWidth="1" min="4" max="4" width="11.63"/>
    <col customWidth="1" min="7" max="7" width="19.63"/>
    <col customWidth="1" min="9" max="9" width="16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4" t="s">
        <v>7</v>
      </c>
      <c r="C2" s="4">
        <v>3.0</v>
      </c>
      <c r="D2" s="5">
        <v>45860.0</v>
      </c>
    </row>
    <row r="3">
      <c r="A3" s="4" t="s">
        <v>6</v>
      </c>
      <c r="B3" s="4" t="s">
        <v>8</v>
      </c>
      <c r="C3" s="4">
        <v>1.0</v>
      </c>
      <c r="D3" s="5">
        <v>45861.0</v>
      </c>
    </row>
    <row r="4">
      <c r="A4" s="4" t="s">
        <v>6</v>
      </c>
      <c r="B4" s="4" t="s">
        <v>9</v>
      </c>
      <c r="C4" s="4">
        <v>1.1</v>
      </c>
      <c r="D4" s="5">
        <v>45862.0</v>
      </c>
      <c r="E4" s="6">
        <f>sum(C2:C4)</f>
        <v>5.1</v>
      </c>
      <c r="F4" s="7" t="s">
        <v>10</v>
      </c>
      <c r="G4" s="8"/>
    </row>
    <row r="5">
      <c r="A5" s="4" t="s">
        <v>6</v>
      </c>
      <c r="B5" s="4" t="s">
        <v>11</v>
      </c>
      <c r="C5" s="4">
        <v>2.1</v>
      </c>
      <c r="D5" s="5">
        <v>45866.0</v>
      </c>
    </row>
    <row r="6">
      <c r="A6" s="4" t="s">
        <v>13</v>
      </c>
      <c r="B6" s="4" t="s">
        <v>14</v>
      </c>
      <c r="C6" s="4">
        <v>0.5</v>
      </c>
      <c r="D6" s="5">
        <v>45868.0</v>
      </c>
    </row>
    <row r="7">
      <c r="A7" s="4" t="s">
        <v>6</v>
      </c>
      <c r="B7" s="4" t="s">
        <v>15</v>
      </c>
      <c r="C7" s="4">
        <v>1.8</v>
      </c>
      <c r="D7" s="5">
        <v>45868.0</v>
      </c>
    </row>
    <row r="8">
      <c r="A8" s="4" t="s">
        <v>17</v>
      </c>
      <c r="B8" s="4" t="s">
        <v>18</v>
      </c>
      <c r="C8" s="4">
        <v>1.1</v>
      </c>
      <c r="D8" s="9">
        <v>45870.0</v>
      </c>
      <c r="E8" s="10">
        <f>sum(C5:C8)</f>
        <v>5.5</v>
      </c>
      <c r="F8" s="7" t="s">
        <v>10</v>
      </c>
    </row>
    <row r="9">
      <c r="A9" s="4" t="s">
        <v>6</v>
      </c>
      <c r="B9" s="4" t="s">
        <v>19</v>
      </c>
      <c r="C9" s="4">
        <v>3.5</v>
      </c>
      <c r="D9" s="9">
        <v>45873.0</v>
      </c>
    </row>
    <row r="10">
      <c r="A10" s="4" t="s">
        <v>6</v>
      </c>
      <c r="B10" s="4" t="s">
        <v>20</v>
      </c>
      <c r="C10" s="4">
        <v>1.5</v>
      </c>
      <c r="D10" s="9">
        <v>45873.0</v>
      </c>
    </row>
    <row r="11">
      <c r="A11" s="4" t="s">
        <v>6</v>
      </c>
      <c r="B11" s="4" t="s">
        <v>22</v>
      </c>
      <c r="C11" s="4">
        <v>2.0</v>
      </c>
      <c r="D11" s="9">
        <v>45874.0</v>
      </c>
    </row>
    <row r="12">
      <c r="A12" s="4" t="s">
        <v>6</v>
      </c>
      <c r="B12" s="4" t="s">
        <v>24</v>
      </c>
      <c r="C12" s="4">
        <v>2.0</v>
      </c>
      <c r="D12" s="9">
        <v>45875.0</v>
      </c>
    </row>
    <row r="13">
      <c r="A13" s="4" t="s">
        <v>6</v>
      </c>
      <c r="B13" s="4" t="s">
        <v>26</v>
      </c>
      <c r="C13" s="4">
        <v>1.9</v>
      </c>
      <c r="D13" s="9">
        <v>45877.0</v>
      </c>
    </row>
    <row r="14">
      <c r="A14" s="4" t="s">
        <v>13</v>
      </c>
      <c r="B14" s="4" t="s">
        <v>27</v>
      </c>
      <c r="C14" s="4">
        <v>0.8</v>
      </c>
      <c r="D14" s="9">
        <v>45877.0</v>
      </c>
    </row>
    <row r="15">
      <c r="A15" s="4" t="s">
        <v>6</v>
      </c>
      <c r="B15" s="4" t="s">
        <v>28</v>
      </c>
      <c r="C15" s="4">
        <v>1.4</v>
      </c>
      <c r="D15" s="9">
        <v>45877.0</v>
      </c>
      <c r="E15" s="6">
        <f>sum(C9:C15)</f>
        <v>13.1</v>
      </c>
      <c r="F15" s="7" t="s">
        <v>10</v>
      </c>
    </row>
    <row r="16">
      <c r="A16" s="4" t="s">
        <v>6</v>
      </c>
      <c r="B16" s="4" t="s">
        <v>29</v>
      </c>
      <c r="C16" s="4">
        <v>1.0</v>
      </c>
      <c r="D16" s="9">
        <v>45880.0</v>
      </c>
    </row>
    <row r="17">
      <c r="A17" s="4" t="s">
        <v>6</v>
      </c>
      <c r="B17" s="4" t="s">
        <v>30</v>
      </c>
      <c r="C17" s="4">
        <v>1.5</v>
      </c>
      <c r="D17" s="9">
        <v>45880.0</v>
      </c>
    </row>
    <row r="18">
      <c r="A18" s="4" t="s">
        <v>6</v>
      </c>
      <c r="B18" s="4" t="s">
        <v>31</v>
      </c>
      <c r="C18" s="4">
        <v>4.0</v>
      </c>
      <c r="D18" s="9">
        <v>45880.0</v>
      </c>
    </row>
    <row r="19">
      <c r="A19" s="4" t="s">
        <v>6</v>
      </c>
      <c r="B19" s="4" t="s">
        <v>32</v>
      </c>
      <c r="C19" s="4">
        <v>1.5</v>
      </c>
      <c r="D19" s="9">
        <v>45880.0</v>
      </c>
    </row>
    <row r="20">
      <c r="A20" s="4" t="s">
        <v>17</v>
      </c>
      <c r="B20" s="4" t="s">
        <v>33</v>
      </c>
      <c r="C20" s="4">
        <v>0.5</v>
      </c>
      <c r="D20" s="9">
        <v>45881.0</v>
      </c>
    </row>
    <row r="21">
      <c r="A21" s="4" t="s">
        <v>6</v>
      </c>
      <c r="B21" s="4" t="s">
        <v>34</v>
      </c>
      <c r="C21" s="4">
        <v>1.5</v>
      </c>
      <c r="D21" s="9">
        <v>45881.0</v>
      </c>
    </row>
    <row r="22">
      <c r="A22" s="4" t="s">
        <v>6</v>
      </c>
      <c r="B22" s="4" t="s">
        <v>35</v>
      </c>
      <c r="C22" s="4">
        <v>2.0</v>
      </c>
      <c r="D22" s="9">
        <v>45881.0</v>
      </c>
    </row>
    <row r="23">
      <c r="A23" s="4" t="s">
        <v>6</v>
      </c>
      <c r="B23" s="4" t="s">
        <v>36</v>
      </c>
      <c r="C23" s="4">
        <v>1.0</v>
      </c>
      <c r="D23" s="5">
        <v>45883.0</v>
      </c>
    </row>
    <row r="24">
      <c r="A24" s="4" t="s">
        <v>13</v>
      </c>
      <c r="B24" s="4" t="s">
        <v>27</v>
      </c>
      <c r="C24" s="4">
        <v>0.7</v>
      </c>
      <c r="D24" s="5">
        <v>45884.0</v>
      </c>
    </row>
    <row r="25">
      <c r="A25" s="4" t="s">
        <v>6</v>
      </c>
      <c r="B25" s="4" t="s">
        <v>37</v>
      </c>
      <c r="C25" s="4">
        <v>0.9</v>
      </c>
      <c r="D25" s="5">
        <v>45884.0</v>
      </c>
      <c r="E25" s="6">
        <f>sum(C16:C25)</f>
        <v>14.6</v>
      </c>
      <c r="F25" s="7" t="s">
        <v>10</v>
      </c>
    </row>
    <row r="26">
      <c r="A26" s="4" t="s">
        <v>6</v>
      </c>
      <c r="B26" s="4" t="s">
        <v>38</v>
      </c>
      <c r="C26" s="4">
        <v>1.4</v>
      </c>
      <c r="D26" s="5">
        <v>45887.0</v>
      </c>
    </row>
    <row r="27">
      <c r="A27" s="4" t="s">
        <v>6</v>
      </c>
      <c r="B27" s="4" t="s">
        <v>39</v>
      </c>
      <c r="C27" s="4">
        <v>3.5</v>
      </c>
      <c r="D27" s="5">
        <v>45887.0</v>
      </c>
    </row>
    <row r="28">
      <c r="A28" s="4" t="s">
        <v>6</v>
      </c>
      <c r="B28" s="4" t="s">
        <v>40</v>
      </c>
      <c r="C28" s="4">
        <v>3.6</v>
      </c>
      <c r="D28" s="5">
        <v>45887.0</v>
      </c>
    </row>
    <row r="29">
      <c r="A29" s="4" t="s">
        <v>6</v>
      </c>
      <c r="B29" s="4" t="s">
        <v>41</v>
      </c>
      <c r="C29" s="4">
        <v>2.0</v>
      </c>
      <c r="D29" s="5">
        <v>45887.0</v>
      </c>
    </row>
    <row r="30">
      <c r="A30" s="4" t="s">
        <v>6</v>
      </c>
      <c r="B30" s="4" t="s">
        <v>42</v>
      </c>
      <c r="C30" s="4">
        <v>1.6</v>
      </c>
      <c r="D30" s="5">
        <v>45887.0</v>
      </c>
    </row>
    <row r="31">
      <c r="A31" s="4" t="s">
        <v>13</v>
      </c>
      <c r="B31" s="4" t="s">
        <v>43</v>
      </c>
      <c r="C31" s="4">
        <v>0.85</v>
      </c>
      <c r="D31" s="5">
        <v>45890.0</v>
      </c>
    </row>
    <row r="32">
      <c r="A32" s="4" t="s">
        <v>13</v>
      </c>
      <c r="B32" s="4" t="s">
        <v>44</v>
      </c>
      <c r="C32" s="4">
        <v>0.85</v>
      </c>
      <c r="D32" s="5">
        <v>45890.0</v>
      </c>
    </row>
    <row r="33">
      <c r="A33" s="4" t="s">
        <v>21</v>
      </c>
      <c r="B33" s="4" t="s">
        <v>45</v>
      </c>
      <c r="C33" s="4">
        <v>3.6</v>
      </c>
      <c r="D33" s="5">
        <v>45890.0</v>
      </c>
    </row>
    <row r="34">
      <c r="A34" s="4" t="s">
        <v>21</v>
      </c>
      <c r="B34" s="4" t="s">
        <v>46</v>
      </c>
      <c r="C34" s="4">
        <v>5.0</v>
      </c>
      <c r="D34" s="5">
        <v>45891.0</v>
      </c>
    </row>
    <row r="35">
      <c r="A35" s="4" t="s">
        <v>21</v>
      </c>
      <c r="B35" s="4" t="s">
        <v>47</v>
      </c>
      <c r="C35" s="4">
        <v>2.8</v>
      </c>
      <c r="D35" s="5">
        <v>45891.0</v>
      </c>
    </row>
    <row r="36">
      <c r="A36" s="4" t="s">
        <v>21</v>
      </c>
      <c r="B36" s="4" t="s">
        <v>48</v>
      </c>
      <c r="C36" s="4">
        <v>5.0</v>
      </c>
      <c r="D36" s="5">
        <v>45892.0</v>
      </c>
      <c r="E36" s="6">
        <f>sum(C26:C36)</f>
        <v>30.2</v>
      </c>
      <c r="F36" s="7" t="s">
        <v>10</v>
      </c>
    </row>
    <row r="37">
      <c r="A37" s="4" t="s">
        <v>21</v>
      </c>
      <c r="B37" s="4" t="s">
        <v>49</v>
      </c>
      <c r="C37" s="4">
        <v>3.2</v>
      </c>
      <c r="D37" s="9">
        <v>45894.0</v>
      </c>
    </row>
    <row r="38">
      <c r="A38" s="4" t="s">
        <v>6</v>
      </c>
      <c r="B38" s="4" t="s">
        <v>50</v>
      </c>
      <c r="C38" s="4">
        <v>1.0</v>
      </c>
      <c r="D38" s="9">
        <v>45894.0</v>
      </c>
    </row>
    <row r="39">
      <c r="A39" s="4" t="s">
        <v>6</v>
      </c>
      <c r="B39" s="4" t="s">
        <v>51</v>
      </c>
      <c r="C39" s="4">
        <v>1.85</v>
      </c>
      <c r="D39" s="9">
        <v>45894.0</v>
      </c>
    </row>
    <row r="40">
      <c r="A40" s="4" t="s">
        <v>6</v>
      </c>
      <c r="B40" s="4" t="s">
        <v>52</v>
      </c>
      <c r="C40" s="4">
        <v>1.35</v>
      </c>
      <c r="D40" s="9">
        <v>45894.0</v>
      </c>
    </row>
    <row r="41">
      <c r="A41" s="4" t="s">
        <v>6</v>
      </c>
      <c r="B41" s="4" t="s">
        <v>53</v>
      </c>
      <c r="C41" s="4">
        <v>2.52</v>
      </c>
      <c r="D41" s="9">
        <v>45894.0</v>
      </c>
    </row>
    <row r="42">
      <c r="A42" s="4" t="s">
        <v>21</v>
      </c>
      <c r="B42" s="4" t="s">
        <v>54</v>
      </c>
      <c r="C42" s="4">
        <v>3.25</v>
      </c>
      <c r="D42" s="9">
        <v>45894.0</v>
      </c>
    </row>
    <row r="43">
      <c r="A43" s="4" t="s">
        <v>21</v>
      </c>
      <c r="B43" s="4" t="s">
        <v>55</v>
      </c>
      <c r="C43" s="4">
        <v>7.52</v>
      </c>
      <c r="D43" s="9">
        <v>45894.0</v>
      </c>
    </row>
    <row r="44">
      <c r="A44" s="4" t="s">
        <v>6</v>
      </c>
      <c r="B44" s="4" t="s">
        <v>56</v>
      </c>
      <c r="C44" s="4">
        <v>0.35</v>
      </c>
      <c r="D44" s="9">
        <v>45897.0</v>
      </c>
    </row>
    <row r="45">
      <c r="A45" s="4" t="s">
        <v>21</v>
      </c>
      <c r="B45" s="4" t="s">
        <v>57</v>
      </c>
      <c r="C45" s="11">
        <v>2.42</v>
      </c>
      <c r="D45" s="9">
        <v>45898.0</v>
      </c>
    </row>
    <row r="46">
      <c r="A46" s="4" t="s">
        <v>21</v>
      </c>
      <c r="B46" s="4" t="s">
        <v>58</v>
      </c>
      <c r="C46" s="11">
        <v>3.15</v>
      </c>
      <c r="D46" s="9">
        <v>45898.0</v>
      </c>
    </row>
    <row r="47">
      <c r="A47" s="4" t="s">
        <v>21</v>
      </c>
      <c r="B47" s="4" t="s">
        <v>59</v>
      </c>
      <c r="C47" s="11">
        <v>4.76</v>
      </c>
      <c r="D47" s="9">
        <v>45898.0</v>
      </c>
    </row>
    <row r="48">
      <c r="A48" s="4" t="s">
        <v>21</v>
      </c>
      <c r="B48" s="4" t="s">
        <v>60</v>
      </c>
      <c r="C48" s="11">
        <v>1.21</v>
      </c>
      <c r="D48" s="9">
        <v>45898.0</v>
      </c>
    </row>
    <row r="49">
      <c r="A49" s="4" t="s">
        <v>21</v>
      </c>
      <c r="B49" s="4" t="s">
        <v>61</v>
      </c>
      <c r="C49" s="11">
        <v>1.57</v>
      </c>
      <c r="D49" s="9">
        <v>45898.0</v>
      </c>
    </row>
    <row r="50">
      <c r="A50" s="4" t="s">
        <v>21</v>
      </c>
      <c r="B50" s="4" t="s">
        <v>62</v>
      </c>
      <c r="C50" s="11">
        <v>2.78</v>
      </c>
      <c r="D50" s="9">
        <v>45898.0</v>
      </c>
    </row>
    <row r="51">
      <c r="A51" s="4" t="s">
        <v>13</v>
      </c>
      <c r="B51" s="4" t="s">
        <v>63</v>
      </c>
      <c r="C51" s="4">
        <v>0.5</v>
      </c>
      <c r="D51" s="9">
        <v>45898.0</v>
      </c>
    </row>
    <row r="52">
      <c r="A52" s="11" t="s">
        <v>21</v>
      </c>
      <c r="B52" s="11" t="s">
        <v>64</v>
      </c>
      <c r="C52" s="11">
        <v>1.63</v>
      </c>
      <c r="D52" s="12">
        <v>45898.0</v>
      </c>
    </row>
    <row r="53">
      <c r="A53" s="11" t="s">
        <v>21</v>
      </c>
      <c r="B53" s="4" t="s">
        <v>65</v>
      </c>
      <c r="C53" s="4">
        <v>0.56</v>
      </c>
      <c r="D53" s="12">
        <v>45898.0</v>
      </c>
      <c r="E53" s="6">
        <f>sum(C37:C53)</f>
        <v>39.62</v>
      </c>
      <c r="F53" s="7" t="s">
        <v>10</v>
      </c>
    </row>
    <row r="54">
      <c r="A54" s="11" t="s">
        <v>21</v>
      </c>
      <c r="B54" s="4" t="s">
        <v>66</v>
      </c>
      <c r="C54" s="4">
        <v>2.89</v>
      </c>
      <c r="D54" s="12">
        <v>45902.0</v>
      </c>
    </row>
    <row r="55">
      <c r="A55" s="11" t="s">
        <v>21</v>
      </c>
      <c r="B55" s="4" t="s">
        <v>67</v>
      </c>
      <c r="C55" s="4">
        <v>2.27</v>
      </c>
      <c r="D55" s="12">
        <v>45902.0</v>
      </c>
    </row>
    <row r="56">
      <c r="A56" s="11" t="s">
        <v>21</v>
      </c>
      <c r="B56" s="4" t="s">
        <v>68</v>
      </c>
      <c r="C56" s="4">
        <v>4.18</v>
      </c>
      <c r="D56" s="12">
        <v>45903.0</v>
      </c>
    </row>
    <row r="57">
      <c r="A57" s="11" t="s">
        <v>21</v>
      </c>
      <c r="B57" s="4" t="s">
        <v>69</v>
      </c>
      <c r="C57" s="4">
        <v>3.76</v>
      </c>
      <c r="D57" s="12">
        <v>45904.0</v>
      </c>
    </row>
    <row r="58">
      <c r="A58" s="11" t="s">
        <v>21</v>
      </c>
      <c r="B58" s="4" t="s">
        <v>70</v>
      </c>
      <c r="C58" s="4">
        <v>2.12</v>
      </c>
      <c r="D58" s="12">
        <v>45905.0</v>
      </c>
    </row>
    <row r="59">
      <c r="A59" s="4" t="s">
        <v>21</v>
      </c>
      <c r="B59" s="4" t="s">
        <v>71</v>
      </c>
      <c r="C59" s="4">
        <v>8.56</v>
      </c>
      <c r="D59" s="9">
        <v>45905.0</v>
      </c>
    </row>
    <row r="60">
      <c r="A60" s="4" t="s">
        <v>6</v>
      </c>
      <c r="B60" s="4" t="s">
        <v>72</v>
      </c>
      <c r="C60" s="4">
        <v>9.56</v>
      </c>
      <c r="D60" s="4" t="s">
        <v>73</v>
      </c>
      <c r="E60" s="6">
        <f>sum(C54:C60)</f>
        <v>33.34</v>
      </c>
      <c r="F60" s="13" t="s">
        <v>74</v>
      </c>
    </row>
    <row r="61">
      <c r="A61" s="4" t="s">
        <v>6</v>
      </c>
      <c r="B61" s="4" t="s">
        <v>75</v>
      </c>
      <c r="C61" s="4">
        <v>2.53</v>
      </c>
      <c r="D61" s="12">
        <v>45908.0</v>
      </c>
      <c r="F61" s="14"/>
    </row>
    <row r="62">
      <c r="A62" s="4" t="s">
        <v>6</v>
      </c>
      <c r="B62" s="4" t="s">
        <v>76</v>
      </c>
      <c r="C62" s="4">
        <v>2.59</v>
      </c>
      <c r="D62" s="12">
        <v>45909.0</v>
      </c>
      <c r="F62" s="14"/>
    </row>
    <row r="63">
      <c r="A63" s="4" t="s">
        <v>6</v>
      </c>
      <c r="B63" s="4" t="s">
        <v>77</v>
      </c>
      <c r="C63" s="4">
        <v>3.12</v>
      </c>
      <c r="D63" s="12">
        <v>45911.0</v>
      </c>
      <c r="F63" s="14"/>
    </row>
    <row r="64">
      <c r="A64" s="4" t="s">
        <v>6</v>
      </c>
      <c r="B64" s="4" t="s">
        <v>78</v>
      </c>
      <c r="C64" s="4">
        <v>5.32</v>
      </c>
      <c r="D64" s="9">
        <v>45912.0</v>
      </c>
      <c r="F64" s="14"/>
    </row>
    <row r="65">
      <c r="A65" s="11" t="s">
        <v>21</v>
      </c>
      <c r="B65" s="4" t="s">
        <v>79</v>
      </c>
      <c r="C65" s="4">
        <v>8.95</v>
      </c>
      <c r="D65" s="12">
        <v>45908.0</v>
      </c>
    </row>
    <row r="66">
      <c r="A66" s="11" t="s">
        <v>21</v>
      </c>
      <c r="B66" s="4" t="s">
        <v>71</v>
      </c>
      <c r="C66" s="4">
        <v>9.34</v>
      </c>
      <c r="D66" s="12">
        <v>45909.0</v>
      </c>
    </row>
    <row r="67">
      <c r="A67" s="11" t="s">
        <v>21</v>
      </c>
      <c r="B67" s="4" t="s">
        <v>80</v>
      </c>
      <c r="C67" s="4">
        <v>3.52</v>
      </c>
      <c r="D67" s="12">
        <v>45911.0</v>
      </c>
    </row>
    <row r="68">
      <c r="A68" s="11" t="s">
        <v>21</v>
      </c>
      <c r="B68" s="4" t="s">
        <v>81</v>
      </c>
      <c r="C68" s="4">
        <v>2.43</v>
      </c>
      <c r="D68" s="12">
        <v>45911.0</v>
      </c>
      <c r="E68" s="6">
        <f>sum(C61:C68)</f>
        <v>37.8</v>
      </c>
      <c r="F68" s="7" t="s">
        <v>74</v>
      </c>
    </row>
    <row r="69">
      <c r="A69" s="15" t="s">
        <v>21</v>
      </c>
      <c r="B69" s="16" t="s">
        <v>82</v>
      </c>
      <c r="C69" s="16">
        <v>2.91</v>
      </c>
      <c r="D69" s="17">
        <v>45915.0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</row>
    <row r="70">
      <c r="A70" s="15" t="s">
        <v>21</v>
      </c>
      <c r="B70" s="16" t="s">
        <v>83</v>
      </c>
      <c r="C70" s="16">
        <v>4.11</v>
      </c>
      <c r="D70" s="17">
        <v>45915.0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</row>
    <row r="71">
      <c r="A71" s="15" t="s">
        <v>21</v>
      </c>
      <c r="B71" s="16" t="s">
        <v>84</v>
      </c>
      <c r="C71" s="16">
        <v>6.52</v>
      </c>
      <c r="D71" s="17">
        <v>45918.0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</row>
    <row r="72">
      <c r="A72" s="16" t="s">
        <v>21</v>
      </c>
      <c r="B72" s="16" t="s">
        <v>85</v>
      </c>
      <c r="C72" s="16">
        <v>6.98</v>
      </c>
      <c r="D72" s="17">
        <v>45919.0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</row>
    <row r="73">
      <c r="A73" s="16" t="s">
        <v>21</v>
      </c>
      <c r="B73" s="16" t="s">
        <v>86</v>
      </c>
      <c r="C73" s="16">
        <v>3.82</v>
      </c>
      <c r="D73" s="17">
        <v>45925.0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</row>
    <row r="74">
      <c r="A74" s="16" t="s">
        <v>17</v>
      </c>
      <c r="B74" s="16" t="s">
        <v>87</v>
      </c>
      <c r="C74" s="16">
        <v>2.25</v>
      </c>
      <c r="D74" s="17">
        <v>45922.0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</row>
    <row r="75">
      <c r="A75" s="16" t="s">
        <v>17</v>
      </c>
      <c r="B75" s="16" t="s">
        <v>88</v>
      </c>
      <c r="C75" s="16">
        <v>2.72</v>
      </c>
      <c r="D75" s="17">
        <v>45923.0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</row>
    <row r="76">
      <c r="A76" s="16" t="s">
        <v>17</v>
      </c>
      <c r="B76" s="16" t="s">
        <v>89</v>
      </c>
      <c r="C76" s="16">
        <v>1.62</v>
      </c>
      <c r="D76" s="17">
        <v>45924.0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</row>
    <row r="77">
      <c r="A77" s="16" t="s">
        <v>23</v>
      </c>
      <c r="B77" s="16" t="s">
        <v>90</v>
      </c>
      <c r="C77" s="16">
        <v>2.1</v>
      </c>
      <c r="D77" s="17">
        <v>45925.0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</row>
    <row r="78">
      <c r="A78" s="16" t="s">
        <v>16</v>
      </c>
      <c r="B78" s="16" t="s">
        <v>91</v>
      </c>
      <c r="C78" s="16">
        <v>0.52</v>
      </c>
      <c r="D78" s="17">
        <v>45912.0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</row>
    <row r="79">
      <c r="A79" s="16" t="s">
        <v>13</v>
      </c>
      <c r="B79" s="16" t="s">
        <v>92</v>
      </c>
      <c r="C79" s="16">
        <v>0.63</v>
      </c>
      <c r="D79" s="17">
        <v>45919.0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</row>
    <row r="80">
      <c r="A80" s="16" t="s">
        <v>6</v>
      </c>
      <c r="B80" s="16" t="s">
        <v>93</v>
      </c>
      <c r="C80" s="16">
        <v>1.98</v>
      </c>
      <c r="D80" s="17">
        <v>45918.0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</row>
    <row r="81">
      <c r="A81" s="16" t="s">
        <v>6</v>
      </c>
      <c r="B81" s="16" t="s">
        <v>94</v>
      </c>
      <c r="C81" s="16">
        <v>1.72</v>
      </c>
      <c r="D81" s="17">
        <v>45915.0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</row>
    <row r="82">
      <c r="A82" s="16" t="s">
        <v>6</v>
      </c>
      <c r="B82" s="16" t="s">
        <v>95</v>
      </c>
      <c r="C82" s="16">
        <v>4.15</v>
      </c>
      <c r="D82" s="17">
        <v>45915.0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</row>
    <row r="83">
      <c r="A83" s="16" t="s">
        <v>6</v>
      </c>
      <c r="B83" s="16" t="s">
        <v>96</v>
      </c>
      <c r="C83" s="16">
        <v>4.52</v>
      </c>
      <c r="D83" s="17">
        <v>45922.0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</row>
    <row r="84">
      <c r="A84" s="16" t="s">
        <v>6</v>
      </c>
      <c r="B84" s="16" t="s">
        <v>97</v>
      </c>
      <c r="C84" s="16">
        <v>5.62</v>
      </c>
      <c r="D84" s="17">
        <v>45929.0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</row>
    <row r="85">
      <c r="A85" s="16" t="s">
        <v>6</v>
      </c>
      <c r="B85" s="16" t="s">
        <v>98</v>
      </c>
      <c r="C85" s="16">
        <v>1.62</v>
      </c>
      <c r="D85" s="17">
        <v>45919.0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</row>
    <row r="86">
      <c r="A86" s="16" t="s">
        <v>6</v>
      </c>
      <c r="B86" s="16" t="s">
        <v>99</v>
      </c>
      <c r="C86" s="16">
        <v>5.63</v>
      </c>
      <c r="D86" s="17">
        <v>45922.0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</row>
    <row r="87">
      <c r="A87" s="16" t="s">
        <v>6</v>
      </c>
      <c r="B87" s="16" t="s">
        <v>100</v>
      </c>
      <c r="C87" s="16">
        <v>3.96</v>
      </c>
      <c r="D87" s="17">
        <v>45918.0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</row>
    <row r="88">
      <c r="A88" s="16" t="s">
        <v>6</v>
      </c>
      <c r="B88" s="16" t="s">
        <v>101</v>
      </c>
      <c r="C88" s="16">
        <v>0.92</v>
      </c>
      <c r="D88" s="17">
        <v>45922.0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</row>
    <row r="89">
      <c r="A89" s="16" t="s">
        <v>6</v>
      </c>
      <c r="B89" s="16" t="s">
        <v>102</v>
      </c>
      <c r="C89" s="16">
        <v>0.96</v>
      </c>
      <c r="D89" s="17">
        <v>45925.0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</row>
    <row r="90">
      <c r="A90" s="16" t="s">
        <v>6</v>
      </c>
      <c r="B90" s="16" t="s">
        <v>103</v>
      </c>
      <c r="C90" s="16">
        <v>2.5</v>
      </c>
      <c r="D90" s="17">
        <v>45915.0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</row>
    <row r="91">
      <c r="A91" s="16" t="s">
        <v>6</v>
      </c>
      <c r="B91" s="16" t="s">
        <v>103</v>
      </c>
      <c r="C91" s="16">
        <v>2.5</v>
      </c>
      <c r="D91" s="17">
        <v>45922.0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</row>
    <row r="92">
      <c r="A92" s="16" t="s">
        <v>6</v>
      </c>
      <c r="B92" s="16" t="s">
        <v>103</v>
      </c>
      <c r="C92" s="16">
        <v>2.5</v>
      </c>
      <c r="D92" s="17">
        <v>45929.0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</row>
    <row r="93">
      <c r="A93" s="16" t="s">
        <v>6</v>
      </c>
      <c r="B93" s="16" t="s">
        <v>104</v>
      </c>
      <c r="C93" s="16">
        <v>1.26</v>
      </c>
      <c r="D93" s="17">
        <v>45930.0</v>
      </c>
      <c r="E93" s="14">
        <f>sum(C69:C93)</f>
        <v>74.02</v>
      </c>
      <c r="F93" s="7" t="s">
        <v>105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</row>
    <row r="94">
      <c r="A94" s="4" t="s">
        <v>106</v>
      </c>
      <c r="B94" s="4" t="s">
        <v>107</v>
      </c>
      <c r="C94" s="4">
        <v>3.58</v>
      </c>
      <c r="D94" s="9">
        <v>45938.0</v>
      </c>
    </row>
    <row r="95">
      <c r="A95" s="4" t="s">
        <v>23</v>
      </c>
      <c r="B95" s="4" t="s">
        <v>108</v>
      </c>
      <c r="C95" s="4">
        <v>1.15</v>
      </c>
      <c r="D95" s="9">
        <v>45940.0</v>
      </c>
    </row>
    <row r="96">
      <c r="A96" s="16" t="s">
        <v>6</v>
      </c>
      <c r="B96" s="16" t="s">
        <v>103</v>
      </c>
      <c r="C96" s="4">
        <v>0.3</v>
      </c>
      <c r="D96" s="9">
        <v>45931.0</v>
      </c>
    </row>
    <row r="97">
      <c r="A97" s="16" t="s">
        <v>6</v>
      </c>
      <c r="B97" s="16" t="s">
        <v>109</v>
      </c>
      <c r="C97" s="4">
        <v>1.5</v>
      </c>
      <c r="D97" s="9">
        <v>45931.0</v>
      </c>
    </row>
    <row r="98">
      <c r="A98" s="16" t="s">
        <v>6</v>
      </c>
      <c r="B98" s="16" t="s">
        <v>110</v>
      </c>
      <c r="C98" s="4">
        <v>1.25</v>
      </c>
      <c r="D98" s="9">
        <v>45931.0</v>
      </c>
    </row>
    <row r="99">
      <c r="A99" s="16" t="s">
        <v>6</v>
      </c>
      <c r="B99" s="16" t="s">
        <v>111</v>
      </c>
      <c r="C99" s="4">
        <v>1.0</v>
      </c>
      <c r="D99" s="9">
        <v>45933.0</v>
      </c>
    </row>
    <row r="100">
      <c r="A100" s="16" t="s">
        <v>6</v>
      </c>
      <c r="B100" s="16" t="s">
        <v>103</v>
      </c>
      <c r="C100" s="4">
        <v>0.3</v>
      </c>
      <c r="D100" s="9">
        <v>45933.0</v>
      </c>
    </row>
    <row r="101">
      <c r="A101" s="16" t="s">
        <v>6</v>
      </c>
      <c r="B101" s="16" t="s">
        <v>112</v>
      </c>
      <c r="C101" s="4">
        <v>0.3</v>
      </c>
      <c r="D101" s="9">
        <v>45934.0</v>
      </c>
    </row>
    <row r="102">
      <c r="A102" s="16" t="s">
        <v>6</v>
      </c>
      <c r="B102" s="16" t="s">
        <v>113</v>
      </c>
      <c r="C102" s="4">
        <v>0.5</v>
      </c>
      <c r="D102" s="9">
        <v>45936.0</v>
      </c>
    </row>
    <row r="103">
      <c r="A103" s="16" t="s">
        <v>6</v>
      </c>
      <c r="B103" s="16" t="s">
        <v>114</v>
      </c>
      <c r="C103" s="4">
        <v>1.52</v>
      </c>
      <c r="D103" s="9">
        <v>45936.0</v>
      </c>
    </row>
    <row r="104">
      <c r="A104" s="16" t="s">
        <v>6</v>
      </c>
      <c r="B104" s="16" t="s">
        <v>115</v>
      </c>
      <c r="C104" s="4">
        <v>2.0</v>
      </c>
      <c r="D104" s="9">
        <v>45937.0</v>
      </c>
    </row>
    <row r="105">
      <c r="A105" s="16" t="s">
        <v>6</v>
      </c>
      <c r="B105" s="16" t="s">
        <v>116</v>
      </c>
      <c r="C105" s="4">
        <v>0.48</v>
      </c>
      <c r="D105" s="9">
        <v>45937.0</v>
      </c>
    </row>
    <row r="106">
      <c r="A106" s="16" t="s">
        <v>6</v>
      </c>
      <c r="B106" s="16" t="s">
        <v>117</v>
      </c>
      <c r="C106" s="4">
        <v>2.0</v>
      </c>
      <c r="D106" s="9">
        <v>45938.0</v>
      </c>
    </row>
    <row r="107">
      <c r="A107" s="16" t="s">
        <v>6</v>
      </c>
      <c r="B107" s="16" t="s">
        <v>118</v>
      </c>
      <c r="C107" s="4">
        <v>2.0</v>
      </c>
      <c r="D107" s="9">
        <v>45938.0</v>
      </c>
    </row>
    <row r="108">
      <c r="A108" s="16" t="s">
        <v>6</v>
      </c>
      <c r="B108" s="16" t="s">
        <v>119</v>
      </c>
      <c r="C108" s="4">
        <v>1.5</v>
      </c>
      <c r="D108" s="9">
        <v>45939.0</v>
      </c>
    </row>
    <row r="109">
      <c r="A109" s="16" t="s">
        <v>6</v>
      </c>
      <c r="B109" s="16" t="s">
        <v>120</v>
      </c>
      <c r="C109" s="4">
        <v>2.11</v>
      </c>
      <c r="D109" s="9">
        <v>45939.0</v>
      </c>
    </row>
    <row r="110">
      <c r="A110" s="16" t="s">
        <v>6</v>
      </c>
      <c r="B110" s="16" t="s">
        <v>121</v>
      </c>
      <c r="C110" s="4">
        <v>1.08</v>
      </c>
      <c r="D110" s="9">
        <v>45940.0</v>
      </c>
    </row>
    <row r="111">
      <c r="A111" s="16" t="s">
        <v>6</v>
      </c>
      <c r="B111" s="16" t="s">
        <v>122</v>
      </c>
      <c r="C111" s="4">
        <v>1.0</v>
      </c>
      <c r="D111" s="9">
        <v>45940.0</v>
      </c>
    </row>
    <row r="112">
      <c r="A112" s="16" t="s">
        <v>6</v>
      </c>
      <c r="B112" s="16" t="s">
        <v>123</v>
      </c>
      <c r="C112" s="4">
        <v>0.2</v>
      </c>
      <c r="D112" s="9">
        <v>45941.0</v>
      </c>
    </row>
    <row r="113">
      <c r="A113" s="16" t="s">
        <v>6</v>
      </c>
      <c r="B113" s="16" t="s">
        <v>124</v>
      </c>
      <c r="C113" s="4">
        <v>1.0</v>
      </c>
      <c r="D113" s="9">
        <v>45943.0</v>
      </c>
    </row>
    <row r="114">
      <c r="A114" s="16" t="s">
        <v>6</v>
      </c>
      <c r="B114" s="16" t="s">
        <v>125</v>
      </c>
      <c r="C114" s="4">
        <v>1.12</v>
      </c>
      <c r="D114" s="9">
        <v>45943.0</v>
      </c>
    </row>
    <row r="115">
      <c r="A115" s="16" t="s">
        <v>6</v>
      </c>
      <c r="B115" s="16" t="s">
        <v>126</v>
      </c>
      <c r="C115" s="4">
        <v>1.35</v>
      </c>
      <c r="D115" s="9">
        <v>45944.0</v>
      </c>
    </row>
    <row r="116">
      <c r="A116" s="16" t="s">
        <v>6</v>
      </c>
      <c r="B116" s="16" t="s">
        <v>127</v>
      </c>
      <c r="C116" s="4">
        <v>0.31</v>
      </c>
      <c r="D116" s="9">
        <v>45944.0</v>
      </c>
    </row>
    <row r="117">
      <c r="A117" s="16" t="s">
        <v>6</v>
      </c>
      <c r="B117" s="16" t="s">
        <v>128</v>
      </c>
      <c r="C117" s="4">
        <v>0.43</v>
      </c>
      <c r="D117" s="9">
        <v>45944.0</v>
      </c>
    </row>
    <row r="118">
      <c r="A118" s="16" t="s">
        <v>6</v>
      </c>
      <c r="B118" s="16" t="s">
        <v>118</v>
      </c>
      <c r="C118" s="4">
        <v>1.34</v>
      </c>
      <c r="D118" s="9">
        <v>45945.0</v>
      </c>
    </row>
    <row r="119">
      <c r="A119" s="16" t="s">
        <v>6</v>
      </c>
      <c r="B119" s="16" t="s">
        <v>129</v>
      </c>
      <c r="C119" s="4">
        <v>1.19</v>
      </c>
      <c r="D119" s="9">
        <v>45945.0</v>
      </c>
      <c r="E119" s="6">
        <f>sum(C94:C119)</f>
        <v>30.51</v>
      </c>
      <c r="F119" s="7" t="s">
        <v>105</v>
      </c>
    </row>
    <row r="120">
      <c r="A120" s="16" t="s">
        <v>17</v>
      </c>
      <c r="B120" s="16" t="s">
        <v>87</v>
      </c>
      <c r="C120" s="4">
        <v>3.81</v>
      </c>
      <c r="D120" s="9">
        <v>45946.0</v>
      </c>
    </row>
    <row r="121">
      <c r="A121" s="16" t="s">
        <v>17</v>
      </c>
      <c r="B121" s="16" t="s">
        <v>87</v>
      </c>
      <c r="C121" s="4">
        <v>5.21</v>
      </c>
      <c r="D121" s="9">
        <v>45954.0</v>
      </c>
    </row>
    <row r="122">
      <c r="A122" s="4" t="s">
        <v>17</v>
      </c>
      <c r="B122" s="4" t="s">
        <v>130</v>
      </c>
      <c r="C122" s="4">
        <v>1.15</v>
      </c>
      <c r="D122" s="9">
        <v>45959.0</v>
      </c>
    </row>
    <row r="123">
      <c r="A123" s="16" t="s">
        <v>6</v>
      </c>
      <c r="B123" s="4" t="s">
        <v>131</v>
      </c>
      <c r="C123" s="4">
        <v>0.18</v>
      </c>
      <c r="D123" s="9">
        <v>45946.0</v>
      </c>
    </row>
    <row r="124">
      <c r="A124" s="16" t="s">
        <v>6</v>
      </c>
      <c r="B124" s="4" t="s">
        <v>132</v>
      </c>
      <c r="C124" s="4">
        <v>3.0</v>
      </c>
      <c r="D124" s="9">
        <v>45946.0</v>
      </c>
    </row>
    <row r="125">
      <c r="A125" s="16" t="s">
        <v>6</v>
      </c>
      <c r="B125" s="4" t="s">
        <v>133</v>
      </c>
      <c r="C125" s="4">
        <v>2.24</v>
      </c>
      <c r="D125" s="9">
        <v>45947.0</v>
      </c>
    </row>
    <row r="126">
      <c r="A126" s="16" t="s">
        <v>6</v>
      </c>
      <c r="B126" s="4" t="s">
        <v>128</v>
      </c>
      <c r="C126" s="4">
        <v>1.0</v>
      </c>
      <c r="D126" s="9">
        <v>45947.0</v>
      </c>
    </row>
    <row r="127">
      <c r="A127" s="16" t="s">
        <v>6</v>
      </c>
      <c r="B127" s="4" t="s">
        <v>131</v>
      </c>
      <c r="C127" s="4">
        <v>0.1</v>
      </c>
      <c r="D127" s="9">
        <v>45954.0</v>
      </c>
    </row>
    <row r="128">
      <c r="A128" s="16" t="s">
        <v>6</v>
      </c>
      <c r="B128" s="4" t="s">
        <v>131</v>
      </c>
      <c r="C128" s="4">
        <v>1.0</v>
      </c>
      <c r="D128" s="9">
        <v>45955.0</v>
      </c>
    </row>
    <row r="129">
      <c r="A129" s="16" t="s">
        <v>6</v>
      </c>
      <c r="B129" s="4" t="s">
        <v>134</v>
      </c>
      <c r="C129" s="4">
        <v>0.41</v>
      </c>
      <c r="D129" s="9">
        <v>45957.0</v>
      </c>
    </row>
    <row r="130">
      <c r="A130" s="16" t="s">
        <v>6</v>
      </c>
      <c r="B130" s="4" t="s">
        <v>135</v>
      </c>
      <c r="C130" s="4">
        <v>0.51</v>
      </c>
      <c r="D130" s="9">
        <v>45957.0</v>
      </c>
    </row>
    <row r="131">
      <c r="A131" s="16" t="s">
        <v>6</v>
      </c>
      <c r="B131" s="4" t="s">
        <v>131</v>
      </c>
      <c r="C131" s="4">
        <v>0.51</v>
      </c>
      <c r="D131" s="9">
        <v>45958.0</v>
      </c>
    </row>
    <row r="132">
      <c r="A132" s="16" t="s">
        <v>6</v>
      </c>
      <c r="B132" s="4" t="s">
        <v>131</v>
      </c>
      <c r="C132" s="4">
        <v>0.51</v>
      </c>
      <c r="D132" s="9">
        <v>45959.0</v>
      </c>
    </row>
    <row r="133">
      <c r="A133" s="16" t="s">
        <v>6</v>
      </c>
      <c r="B133" s="4" t="s">
        <v>136</v>
      </c>
      <c r="C133" s="4">
        <v>0.27</v>
      </c>
      <c r="D133" s="9">
        <v>45959.0</v>
      </c>
    </row>
    <row r="134">
      <c r="A134" s="16" t="s">
        <v>6</v>
      </c>
      <c r="B134" s="4" t="s">
        <v>128</v>
      </c>
      <c r="C134" s="4">
        <v>0.18</v>
      </c>
      <c r="D134" s="9">
        <v>45959.0</v>
      </c>
    </row>
    <row r="135">
      <c r="A135" s="16" t="s">
        <v>6</v>
      </c>
      <c r="B135" s="4" t="s">
        <v>131</v>
      </c>
      <c r="C135" s="4">
        <v>1.0</v>
      </c>
      <c r="D135" s="9">
        <v>45960.0</v>
      </c>
    </row>
    <row r="136">
      <c r="A136" s="16" t="s">
        <v>6</v>
      </c>
      <c r="B136" s="4" t="s">
        <v>131</v>
      </c>
      <c r="C136" s="4">
        <v>0.14</v>
      </c>
      <c r="D136" s="9">
        <v>45961.0</v>
      </c>
    </row>
    <row r="137">
      <c r="A137" s="16" t="s">
        <v>6</v>
      </c>
      <c r="B137" s="4" t="s">
        <v>137</v>
      </c>
      <c r="C137" s="4">
        <v>2.2</v>
      </c>
      <c r="D137" s="9">
        <v>45961.0</v>
      </c>
      <c r="E137" s="6">
        <f>sum(C120:C137)</f>
        <v>23.42</v>
      </c>
      <c r="F137" s="7" t="s">
        <v>138</v>
      </c>
    </row>
    <row r="138">
      <c r="A138" s="4" t="s">
        <v>106</v>
      </c>
      <c r="B138" s="4" t="s">
        <v>139</v>
      </c>
      <c r="C138" s="4">
        <v>2.11</v>
      </c>
      <c r="D138" s="9">
        <v>45972.0</v>
      </c>
    </row>
    <row r="139">
      <c r="A139" s="4" t="s">
        <v>23</v>
      </c>
      <c r="B139" s="4" t="s">
        <v>140</v>
      </c>
      <c r="C139" s="4">
        <v>1.65</v>
      </c>
      <c r="D139" s="9">
        <v>45975.0</v>
      </c>
    </row>
    <row r="140">
      <c r="A140" s="16" t="s">
        <v>6</v>
      </c>
      <c r="B140" s="4" t="s">
        <v>131</v>
      </c>
      <c r="C140" s="4">
        <v>0.3</v>
      </c>
      <c r="D140" s="9">
        <v>45964.0</v>
      </c>
    </row>
    <row r="141">
      <c r="A141" s="16" t="s">
        <v>6</v>
      </c>
      <c r="B141" s="4" t="s">
        <v>137</v>
      </c>
      <c r="C141" s="4">
        <v>3.0</v>
      </c>
      <c r="D141" s="9">
        <v>45964.0</v>
      </c>
    </row>
    <row r="142">
      <c r="A142" s="16" t="s">
        <v>6</v>
      </c>
      <c r="B142" s="4" t="s">
        <v>128</v>
      </c>
      <c r="C142" s="4">
        <v>1.0</v>
      </c>
      <c r="D142" s="9">
        <v>45965.0</v>
      </c>
    </row>
    <row r="143">
      <c r="A143" s="16" t="s">
        <v>6</v>
      </c>
      <c r="B143" s="4" t="s">
        <v>141</v>
      </c>
      <c r="C143" s="4">
        <v>2.15</v>
      </c>
      <c r="D143" s="9">
        <v>45966.0</v>
      </c>
    </row>
    <row r="144">
      <c r="A144" s="16" t="s">
        <v>6</v>
      </c>
      <c r="B144" s="4" t="s">
        <v>137</v>
      </c>
      <c r="C144" s="4">
        <v>3.0</v>
      </c>
      <c r="D144" s="9">
        <v>45965.0</v>
      </c>
    </row>
    <row r="145">
      <c r="A145" s="16" t="s">
        <v>6</v>
      </c>
      <c r="B145" s="4" t="s">
        <v>131</v>
      </c>
      <c r="C145" s="4">
        <v>1.0</v>
      </c>
      <c r="D145" s="9">
        <v>45965.0</v>
      </c>
    </row>
    <row r="146">
      <c r="A146" s="16" t="s">
        <v>6</v>
      </c>
      <c r="B146" s="4" t="s">
        <v>131</v>
      </c>
      <c r="C146" s="4">
        <v>0.3</v>
      </c>
      <c r="D146" s="9">
        <v>45966.0</v>
      </c>
    </row>
    <row r="147">
      <c r="A147" s="16" t="s">
        <v>6</v>
      </c>
      <c r="B147" s="4" t="s">
        <v>131</v>
      </c>
      <c r="C147" s="4">
        <v>0.3</v>
      </c>
      <c r="D147" s="9">
        <v>45967.0</v>
      </c>
    </row>
    <row r="148">
      <c r="A148" s="16" t="s">
        <v>6</v>
      </c>
      <c r="B148" s="4" t="s">
        <v>131</v>
      </c>
      <c r="C148" s="4">
        <v>1.0</v>
      </c>
      <c r="D148" s="9">
        <v>45968.0</v>
      </c>
    </row>
    <row r="149">
      <c r="A149" s="16" t="s">
        <v>6</v>
      </c>
      <c r="B149" s="4" t="s">
        <v>120</v>
      </c>
      <c r="C149" s="4">
        <v>2.0</v>
      </c>
      <c r="D149" s="9">
        <v>45968.0</v>
      </c>
    </row>
    <row r="150">
      <c r="A150" s="16" t="s">
        <v>6</v>
      </c>
      <c r="B150" s="4" t="s">
        <v>131</v>
      </c>
      <c r="C150" s="4">
        <v>0.3</v>
      </c>
      <c r="D150" s="9">
        <v>45969.0</v>
      </c>
    </row>
    <row r="151">
      <c r="A151" s="16" t="s">
        <v>6</v>
      </c>
      <c r="B151" s="4" t="s">
        <v>142</v>
      </c>
      <c r="C151" s="4">
        <v>1.96</v>
      </c>
      <c r="D151" s="9">
        <v>45970.0</v>
      </c>
    </row>
    <row r="152">
      <c r="A152" s="16" t="s">
        <v>6</v>
      </c>
      <c r="B152" s="4" t="s">
        <v>143</v>
      </c>
      <c r="C152" s="4">
        <v>2.5</v>
      </c>
      <c r="D152" s="9">
        <v>45969.0</v>
      </c>
    </row>
    <row r="153">
      <c r="A153" s="16" t="s">
        <v>6</v>
      </c>
      <c r="B153" s="4" t="s">
        <v>131</v>
      </c>
      <c r="C153" s="4">
        <v>0.3</v>
      </c>
      <c r="D153" s="9">
        <v>45971.0</v>
      </c>
    </row>
    <row r="154">
      <c r="A154" s="16" t="s">
        <v>6</v>
      </c>
      <c r="B154" s="4" t="s">
        <v>131</v>
      </c>
      <c r="C154" s="4">
        <v>0.3</v>
      </c>
      <c r="D154" s="9">
        <v>45972.0</v>
      </c>
    </row>
    <row r="155">
      <c r="A155" s="16" t="s">
        <v>6</v>
      </c>
      <c r="B155" s="4" t="s">
        <v>128</v>
      </c>
      <c r="C155" s="4">
        <v>2.5</v>
      </c>
      <c r="D155" s="9">
        <v>45972.0</v>
      </c>
    </row>
    <row r="156">
      <c r="A156" s="16" t="s">
        <v>6</v>
      </c>
      <c r="B156" s="4" t="s">
        <v>142</v>
      </c>
      <c r="C156" s="4">
        <v>2.12</v>
      </c>
      <c r="D156" s="9">
        <v>45972.0</v>
      </c>
    </row>
    <row r="157">
      <c r="A157" s="16" t="s">
        <v>6</v>
      </c>
      <c r="B157" s="4" t="s">
        <v>131</v>
      </c>
      <c r="C157" s="4">
        <v>1.0</v>
      </c>
      <c r="D157" s="9">
        <v>45973.0</v>
      </c>
    </row>
    <row r="158">
      <c r="A158" s="16" t="s">
        <v>6</v>
      </c>
      <c r="B158" s="4" t="s">
        <v>131</v>
      </c>
      <c r="C158" s="4">
        <v>0.3</v>
      </c>
      <c r="D158" s="9">
        <v>45974.0</v>
      </c>
    </row>
    <row r="159">
      <c r="A159" s="16" t="s">
        <v>6</v>
      </c>
      <c r="B159" s="4" t="s">
        <v>128</v>
      </c>
      <c r="C159" s="4">
        <v>2.0</v>
      </c>
      <c r="D159" s="9">
        <v>45974.0</v>
      </c>
    </row>
    <row r="160">
      <c r="A160" s="16" t="s">
        <v>6</v>
      </c>
      <c r="B160" s="4" t="s">
        <v>131</v>
      </c>
      <c r="C160" s="4">
        <v>1.0</v>
      </c>
      <c r="D160" s="9">
        <v>45975.0</v>
      </c>
    </row>
    <row r="161">
      <c r="A161" s="4" t="s">
        <v>13</v>
      </c>
      <c r="B161" s="4" t="s">
        <v>144</v>
      </c>
      <c r="C161" s="4">
        <v>0.63</v>
      </c>
      <c r="D161" s="9">
        <v>45972.0</v>
      </c>
    </row>
    <row r="162">
      <c r="A162" s="4" t="s">
        <v>13</v>
      </c>
      <c r="B162" s="4" t="s">
        <v>145</v>
      </c>
      <c r="C162" s="4">
        <v>0.72</v>
      </c>
      <c r="D162" s="9">
        <v>45979.0</v>
      </c>
      <c r="E162" s="6">
        <f>sum(C138:C162)</f>
        <v>33.44</v>
      </c>
      <c r="F162" s="7" t="s">
        <v>146</v>
      </c>
    </row>
    <row r="163">
      <c r="A163" s="4" t="s">
        <v>147</v>
      </c>
      <c r="B163" s="4" t="s">
        <v>148</v>
      </c>
      <c r="C163" s="4">
        <v>4.82</v>
      </c>
      <c r="D163" s="9">
        <v>45980.0</v>
      </c>
    </row>
    <row r="164">
      <c r="A164" s="4" t="s">
        <v>147</v>
      </c>
      <c r="B164" s="4" t="s">
        <v>148</v>
      </c>
      <c r="C164" s="4">
        <v>2.91</v>
      </c>
      <c r="D164" s="9">
        <v>45985.0</v>
      </c>
    </row>
    <row r="165">
      <c r="A165" s="16" t="s">
        <v>6</v>
      </c>
      <c r="B165" s="4" t="s">
        <v>131</v>
      </c>
      <c r="C165" s="4">
        <v>0.1</v>
      </c>
      <c r="D165" s="9">
        <v>45978.0</v>
      </c>
    </row>
    <row r="166">
      <c r="A166" s="16" t="s">
        <v>6</v>
      </c>
      <c r="B166" s="4" t="s">
        <v>125</v>
      </c>
      <c r="C166" s="4">
        <v>0.92</v>
      </c>
      <c r="D166" s="9">
        <v>45978.0</v>
      </c>
    </row>
    <row r="167">
      <c r="A167" s="16" t="s">
        <v>6</v>
      </c>
      <c r="B167" s="4" t="s">
        <v>131</v>
      </c>
      <c r="C167" s="4">
        <v>0.2</v>
      </c>
      <c r="D167" s="9">
        <v>45979.0</v>
      </c>
    </row>
    <row r="168">
      <c r="A168" s="16" t="s">
        <v>6</v>
      </c>
      <c r="B168" s="4" t="s">
        <v>149</v>
      </c>
      <c r="C168" s="4">
        <v>3.0</v>
      </c>
      <c r="D168" s="9">
        <v>45979.0</v>
      </c>
    </row>
    <row r="169">
      <c r="A169" s="16" t="s">
        <v>6</v>
      </c>
      <c r="B169" s="4" t="s">
        <v>150</v>
      </c>
      <c r="C169" s="4">
        <v>0.4</v>
      </c>
      <c r="D169" s="9">
        <v>45981.0</v>
      </c>
    </row>
    <row r="170">
      <c r="A170" s="16" t="s">
        <v>6</v>
      </c>
      <c r="B170" s="4" t="s">
        <v>151</v>
      </c>
      <c r="C170" s="4">
        <v>1.37</v>
      </c>
      <c r="D170" s="9">
        <v>45981.0</v>
      </c>
    </row>
    <row r="171">
      <c r="A171" s="16" t="s">
        <v>6</v>
      </c>
      <c r="B171" s="4" t="s">
        <v>131</v>
      </c>
      <c r="C171" s="4">
        <v>0.3</v>
      </c>
      <c r="D171" s="9">
        <v>45982.0</v>
      </c>
    </row>
    <row r="172">
      <c r="A172" s="16" t="s">
        <v>6</v>
      </c>
      <c r="B172" s="4" t="s">
        <v>152</v>
      </c>
      <c r="C172" s="4">
        <v>2.3</v>
      </c>
      <c r="D172" s="9">
        <v>45985.0</v>
      </c>
    </row>
    <row r="173">
      <c r="A173" s="16" t="s">
        <v>6</v>
      </c>
      <c r="B173" s="4" t="s">
        <v>135</v>
      </c>
      <c r="C173" s="4">
        <v>0.4</v>
      </c>
      <c r="D173" s="9">
        <v>45985.0</v>
      </c>
    </row>
    <row r="174">
      <c r="A174" s="16" t="s">
        <v>6</v>
      </c>
      <c r="B174" s="4" t="s">
        <v>153</v>
      </c>
      <c r="C174" s="4">
        <v>1.12</v>
      </c>
      <c r="D174" s="9">
        <v>45985.0</v>
      </c>
    </row>
    <row r="175">
      <c r="A175" s="16" t="s">
        <v>6</v>
      </c>
      <c r="B175" s="4" t="s">
        <v>131</v>
      </c>
      <c r="C175" s="4">
        <v>0.52</v>
      </c>
      <c r="D175" s="9">
        <v>45988.0</v>
      </c>
    </row>
    <row r="176">
      <c r="A176" s="16" t="s">
        <v>6</v>
      </c>
      <c r="B176" s="4" t="s">
        <v>131</v>
      </c>
      <c r="C176" s="4">
        <v>1.5</v>
      </c>
      <c r="D176" s="9">
        <v>45989.0</v>
      </c>
    </row>
    <row r="177">
      <c r="A177" s="16" t="s">
        <v>6</v>
      </c>
      <c r="B177" s="4" t="s">
        <v>154</v>
      </c>
      <c r="C177" s="4">
        <v>0.69</v>
      </c>
      <c r="D177" s="9">
        <v>45989.0</v>
      </c>
    </row>
    <row r="178">
      <c r="A178" s="4" t="s">
        <v>13</v>
      </c>
      <c r="B178" s="4" t="s">
        <v>155</v>
      </c>
      <c r="C178" s="4">
        <v>1.2</v>
      </c>
      <c r="D178" s="9">
        <v>45987.0</v>
      </c>
      <c r="E178" s="6">
        <f>sum(C163:C178)</f>
        <v>21.75</v>
      </c>
      <c r="F178" s="7" t="s">
        <v>146</v>
      </c>
    </row>
    <row r="179">
      <c r="A179" s="16" t="s">
        <v>6</v>
      </c>
      <c r="B179" s="4" t="s">
        <v>131</v>
      </c>
      <c r="C179" s="4">
        <v>0.3</v>
      </c>
      <c r="D179" s="9">
        <v>45992.0</v>
      </c>
    </row>
    <row r="180">
      <c r="A180" s="16" t="s">
        <v>6</v>
      </c>
      <c r="B180" s="4" t="s">
        <v>135</v>
      </c>
      <c r="C180" s="4">
        <v>1.5</v>
      </c>
      <c r="D180" s="9">
        <v>45992.0</v>
      </c>
    </row>
    <row r="181">
      <c r="A181" s="16" t="s">
        <v>6</v>
      </c>
      <c r="B181" s="4" t="s">
        <v>137</v>
      </c>
      <c r="C181" s="4">
        <v>2.5</v>
      </c>
      <c r="D181" s="9">
        <v>45992.0</v>
      </c>
    </row>
    <row r="182">
      <c r="A182" s="16" t="s">
        <v>6</v>
      </c>
      <c r="B182" s="4" t="s">
        <v>153</v>
      </c>
      <c r="C182" s="4">
        <v>1.5</v>
      </c>
      <c r="D182" s="9">
        <v>45992.0</v>
      </c>
    </row>
    <row r="183">
      <c r="A183" s="16" t="s">
        <v>6</v>
      </c>
      <c r="B183" s="4" t="s">
        <v>131</v>
      </c>
      <c r="C183" s="4">
        <v>0.44</v>
      </c>
      <c r="D183" s="9">
        <v>45993.0</v>
      </c>
    </row>
    <row r="184">
      <c r="A184" s="16" t="s">
        <v>6</v>
      </c>
      <c r="B184" s="4" t="s">
        <v>137</v>
      </c>
      <c r="C184" s="4">
        <v>3.0</v>
      </c>
      <c r="D184" s="9">
        <v>45993.0</v>
      </c>
    </row>
    <row r="185">
      <c r="A185" s="16" t="s">
        <v>6</v>
      </c>
      <c r="B185" s="4" t="s">
        <v>120</v>
      </c>
      <c r="C185" s="4">
        <v>1.45</v>
      </c>
      <c r="D185" s="9">
        <v>45994.0</v>
      </c>
    </row>
    <row r="186">
      <c r="A186" s="16" t="s">
        <v>6</v>
      </c>
      <c r="B186" s="4" t="s">
        <v>120</v>
      </c>
      <c r="C186" s="4">
        <v>0.21</v>
      </c>
      <c r="D186" s="9">
        <v>45996.0</v>
      </c>
    </row>
    <row r="187">
      <c r="A187" s="16" t="s">
        <v>6</v>
      </c>
      <c r="B187" s="4" t="s">
        <v>156</v>
      </c>
      <c r="C187" s="4">
        <v>2.5</v>
      </c>
      <c r="D187" s="9">
        <v>45996.0</v>
      </c>
    </row>
    <row r="188">
      <c r="A188" s="16" t="s">
        <v>6</v>
      </c>
      <c r="B188" s="4" t="s">
        <v>156</v>
      </c>
      <c r="C188" s="4">
        <v>2.5</v>
      </c>
      <c r="D188" s="9">
        <v>45997.0</v>
      </c>
    </row>
    <row r="189">
      <c r="A189" s="16" t="s">
        <v>6</v>
      </c>
      <c r="B189" s="4" t="s">
        <v>157</v>
      </c>
      <c r="C189" s="4">
        <v>1.2</v>
      </c>
      <c r="D189" s="9">
        <v>45997.0</v>
      </c>
    </row>
    <row r="190">
      <c r="A190" s="16" t="s">
        <v>6</v>
      </c>
      <c r="B190" s="4" t="s">
        <v>158</v>
      </c>
      <c r="C190" s="4">
        <v>1.23</v>
      </c>
      <c r="D190" s="9">
        <v>45999.0</v>
      </c>
    </row>
    <row r="191">
      <c r="A191" s="16" t="s">
        <v>6</v>
      </c>
      <c r="B191" s="4" t="s">
        <v>156</v>
      </c>
      <c r="C191" s="4">
        <v>1.18</v>
      </c>
      <c r="D191" s="9">
        <v>45999.0</v>
      </c>
    </row>
    <row r="192">
      <c r="A192" s="16" t="s">
        <v>6</v>
      </c>
      <c r="B192" s="4" t="s">
        <v>135</v>
      </c>
      <c r="C192" s="4">
        <v>1.12</v>
      </c>
      <c r="D192" s="9">
        <v>45999.0</v>
      </c>
    </row>
    <row r="193">
      <c r="A193" s="16" t="s">
        <v>6</v>
      </c>
      <c r="B193" s="4" t="s">
        <v>128</v>
      </c>
      <c r="C193" s="4">
        <v>1.2</v>
      </c>
      <c r="D193" s="9">
        <v>45999.0</v>
      </c>
    </row>
    <row r="194">
      <c r="A194" s="16" t="s">
        <v>6</v>
      </c>
      <c r="B194" s="4" t="s">
        <v>118</v>
      </c>
      <c r="C194" s="4">
        <v>2.02</v>
      </c>
      <c r="D194" s="9">
        <v>45999.0</v>
      </c>
    </row>
    <row r="195">
      <c r="A195" s="16" t="s">
        <v>6</v>
      </c>
      <c r="B195" s="4" t="s">
        <v>159</v>
      </c>
      <c r="C195" s="4">
        <v>1.0</v>
      </c>
      <c r="D195" s="9">
        <v>46000.0</v>
      </c>
    </row>
    <row r="196">
      <c r="A196" s="16" t="s">
        <v>6</v>
      </c>
      <c r="B196" s="4" t="s">
        <v>118</v>
      </c>
      <c r="C196" s="4">
        <v>3.5</v>
      </c>
      <c r="D196" s="9">
        <v>46000.0</v>
      </c>
    </row>
    <row r="197">
      <c r="A197" s="16" t="s">
        <v>6</v>
      </c>
      <c r="B197" s="4" t="s">
        <v>160</v>
      </c>
      <c r="C197" s="4">
        <v>1.7</v>
      </c>
      <c r="D197" s="9">
        <v>46000.0</v>
      </c>
    </row>
    <row r="198">
      <c r="A198" s="16" t="s">
        <v>6</v>
      </c>
      <c r="B198" s="4" t="s">
        <v>159</v>
      </c>
      <c r="C198" s="4">
        <v>1.1</v>
      </c>
      <c r="D198" s="5">
        <v>46001.0</v>
      </c>
    </row>
    <row r="199">
      <c r="A199" s="16" t="s">
        <v>6</v>
      </c>
      <c r="B199" s="4" t="s">
        <v>120</v>
      </c>
      <c r="C199" s="4">
        <v>0.4</v>
      </c>
      <c r="D199" s="5">
        <v>46001.0</v>
      </c>
    </row>
    <row r="200">
      <c r="A200" s="4" t="s">
        <v>13</v>
      </c>
      <c r="B200" s="4" t="s">
        <v>161</v>
      </c>
      <c r="C200" s="4">
        <v>4.5</v>
      </c>
      <c r="D200" s="5">
        <v>46002.0</v>
      </c>
    </row>
    <row r="201">
      <c r="A201" s="16" t="s">
        <v>6</v>
      </c>
      <c r="B201" s="4" t="s">
        <v>162</v>
      </c>
      <c r="C201" s="4">
        <v>2.0</v>
      </c>
      <c r="D201" s="5">
        <v>46003.0</v>
      </c>
    </row>
    <row r="202">
      <c r="A202" s="16" t="s">
        <v>6</v>
      </c>
      <c r="B202" s="4" t="s">
        <v>159</v>
      </c>
      <c r="C202" s="4">
        <v>1.0</v>
      </c>
      <c r="D202" s="5">
        <v>46006.0</v>
      </c>
    </row>
    <row r="203">
      <c r="A203" s="16" t="s">
        <v>6</v>
      </c>
      <c r="B203" s="4" t="s">
        <v>163</v>
      </c>
      <c r="C203" s="4">
        <v>1.0</v>
      </c>
      <c r="D203" s="5">
        <v>46006.0</v>
      </c>
    </row>
    <row r="204">
      <c r="A204" s="16" t="s">
        <v>6</v>
      </c>
      <c r="B204" s="4" t="s">
        <v>164</v>
      </c>
      <c r="C204" s="4">
        <v>0.3</v>
      </c>
      <c r="D204" s="5">
        <v>46006.0</v>
      </c>
    </row>
    <row r="205">
      <c r="A205" s="16" t="s">
        <v>6</v>
      </c>
      <c r="B205" s="4" t="s">
        <v>165</v>
      </c>
      <c r="C205" s="4">
        <v>1.2</v>
      </c>
      <c r="D205" s="5">
        <v>46006.0</v>
      </c>
    </row>
    <row r="206">
      <c r="A206" s="16" t="s">
        <v>6</v>
      </c>
      <c r="B206" s="4" t="s">
        <v>166</v>
      </c>
      <c r="C206" s="4">
        <v>1.5</v>
      </c>
      <c r="D206" s="5">
        <v>46006.0</v>
      </c>
    </row>
    <row r="207">
      <c r="A207" s="4" t="s">
        <v>106</v>
      </c>
      <c r="B207" s="4" t="s">
        <v>167</v>
      </c>
      <c r="C207" s="4">
        <v>1.85</v>
      </c>
      <c r="D207" s="9">
        <v>46007.0</v>
      </c>
    </row>
    <row r="208">
      <c r="A208" s="4" t="s">
        <v>17</v>
      </c>
      <c r="B208" s="4" t="s">
        <v>168</v>
      </c>
      <c r="C208" s="4">
        <v>3.5</v>
      </c>
      <c r="D208" s="9">
        <v>46008.0</v>
      </c>
    </row>
    <row r="209">
      <c r="A209" s="4" t="s">
        <v>17</v>
      </c>
      <c r="B209" s="4" t="s">
        <v>168</v>
      </c>
      <c r="C209" s="4">
        <v>3.67</v>
      </c>
      <c r="D209" s="9">
        <v>46010.0</v>
      </c>
    </row>
    <row r="210">
      <c r="A210" s="4" t="s">
        <v>17</v>
      </c>
      <c r="B210" s="4" t="s">
        <v>168</v>
      </c>
      <c r="C210" s="4">
        <v>1.25</v>
      </c>
      <c r="D210" s="9">
        <v>46013.0</v>
      </c>
    </row>
    <row r="211">
      <c r="A211" s="4" t="s">
        <v>16</v>
      </c>
      <c r="B211" s="4" t="s">
        <v>169</v>
      </c>
      <c r="C211" s="4">
        <v>0.5</v>
      </c>
      <c r="D211" s="9">
        <v>46014.0</v>
      </c>
    </row>
    <row r="212">
      <c r="A212" s="4" t="s">
        <v>16</v>
      </c>
      <c r="B212" s="4" t="s">
        <v>169</v>
      </c>
      <c r="C212" s="4">
        <v>0.5</v>
      </c>
      <c r="D212" s="9">
        <v>46021.0</v>
      </c>
    </row>
    <row r="213">
      <c r="A213" s="4" t="s">
        <v>16</v>
      </c>
      <c r="B213" s="4" t="s">
        <v>170</v>
      </c>
      <c r="C213" s="4">
        <v>1.86</v>
      </c>
      <c r="D213" s="9">
        <v>46020.0</v>
      </c>
    </row>
    <row r="214">
      <c r="A214" s="16" t="s">
        <v>6</v>
      </c>
      <c r="B214" s="4" t="s">
        <v>171</v>
      </c>
      <c r="C214" s="4">
        <v>1.12</v>
      </c>
      <c r="D214" s="9">
        <v>46013.0</v>
      </c>
    </row>
    <row r="215">
      <c r="A215" s="16" t="s">
        <v>6</v>
      </c>
      <c r="B215" s="4" t="s">
        <v>164</v>
      </c>
      <c r="C215" s="4">
        <v>1.65</v>
      </c>
      <c r="D215" s="9">
        <v>46013.0</v>
      </c>
    </row>
    <row r="216">
      <c r="A216" s="16" t="s">
        <v>6</v>
      </c>
      <c r="B216" s="4" t="s">
        <v>171</v>
      </c>
      <c r="C216" s="4">
        <v>0.65</v>
      </c>
      <c r="D216" s="9">
        <v>46013.0</v>
      </c>
    </row>
    <row r="217">
      <c r="A217" s="16" t="s">
        <v>6</v>
      </c>
      <c r="B217" s="4" t="s">
        <v>164</v>
      </c>
      <c r="C217" s="4">
        <v>1.95</v>
      </c>
      <c r="D217" s="9">
        <v>46013.0</v>
      </c>
    </row>
    <row r="218">
      <c r="A218" s="16" t="s">
        <v>6</v>
      </c>
      <c r="B218" s="4" t="s">
        <v>172</v>
      </c>
      <c r="C218" s="4">
        <v>0.62</v>
      </c>
      <c r="D218" s="9">
        <v>46021.0</v>
      </c>
      <c r="E218" s="10">
        <f>sum(C179:C218)</f>
        <v>62.17</v>
      </c>
      <c r="F218" s="7" t="s">
        <v>173</v>
      </c>
    </row>
    <row r="219">
      <c r="A219" s="4" t="s">
        <v>23</v>
      </c>
      <c r="B219" s="4" t="s">
        <v>174</v>
      </c>
      <c r="C219" s="4">
        <v>1.31</v>
      </c>
      <c r="D219" s="9">
        <v>46035.0</v>
      </c>
      <c r="E219" s="18" t="s">
        <v>175</v>
      </c>
      <c r="F219" s="19"/>
    </row>
    <row r="220">
      <c r="A220" s="16" t="s">
        <v>6</v>
      </c>
      <c r="B220" s="4" t="s">
        <v>131</v>
      </c>
      <c r="C220" s="4">
        <v>1.25</v>
      </c>
      <c r="D220" s="9">
        <v>46024.0</v>
      </c>
      <c r="E220" s="10"/>
    </row>
    <row r="221">
      <c r="A221" s="16" t="s">
        <v>6</v>
      </c>
      <c r="B221" s="4" t="s">
        <v>123</v>
      </c>
      <c r="C221" s="4">
        <v>1.3</v>
      </c>
      <c r="D221" s="9">
        <v>46025.0</v>
      </c>
      <c r="E221" s="10"/>
    </row>
    <row r="222">
      <c r="A222" s="16" t="s">
        <v>6</v>
      </c>
      <c r="B222" s="4" t="s">
        <v>163</v>
      </c>
      <c r="C222" s="4">
        <v>1.0</v>
      </c>
      <c r="D222" s="9">
        <v>46025.0</v>
      </c>
      <c r="E222" s="10"/>
    </row>
    <row r="223">
      <c r="A223" s="16" t="s">
        <v>6</v>
      </c>
      <c r="B223" s="4" t="s">
        <v>176</v>
      </c>
      <c r="C223" s="4">
        <v>2.2</v>
      </c>
      <c r="D223" s="9">
        <v>46026.0</v>
      </c>
      <c r="E223" s="10"/>
    </row>
    <row r="224">
      <c r="A224" s="16" t="s">
        <v>6</v>
      </c>
      <c r="B224" s="4" t="s">
        <v>176</v>
      </c>
      <c r="C224" s="4">
        <v>2.0</v>
      </c>
      <c r="D224" s="9">
        <v>46027.0</v>
      </c>
    </row>
    <row r="225">
      <c r="A225" s="16" t="s">
        <v>6</v>
      </c>
      <c r="B225" s="4" t="s">
        <v>125</v>
      </c>
      <c r="C225" s="4">
        <v>1.0</v>
      </c>
      <c r="D225" s="9">
        <v>46027.0</v>
      </c>
    </row>
    <row r="226">
      <c r="A226" s="16" t="s">
        <v>6</v>
      </c>
      <c r="B226" s="4" t="s">
        <v>128</v>
      </c>
      <c r="C226" s="4">
        <v>0.3</v>
      </c>
      <c r="D226" s="9">
        <v>46027.0</v>
      </c>
    </row>
    <row r="227">
      <c r="A227" s="16" t="s">
        <v>6</v>
      </c>
      <c r="B227" s="4" t="s">
        <v>131</v>
      </c>
      <c r="C227" s="4">
        <v>1.0</v>
      </c>
      <c r="D227" s="9">
        <v>46028.0</v>
      </c>
    </row>
    <row r="228">
      <c r="A228" s="16" t="s">
        <v>6</v>
      </c>
      <c r="B228" s="4" t="s">
        <v>176</v>
      </c>
      <c r="C228" s="4">
        <v>1.45</v>
      </c>
      <c r="D228" s="9">
        <v>46028.0</v>
      </c>
    </row>
    <row r="229">
      <c r="A229" s="16" t="s">
        <v>6</v>
      </c>
      <c r="B229" s="4" t="s">
        <v>177</v>
      </c>
      <c r="C229" s="4">
        <v>4.0</v>
      </c>
      <c r="D229" s="9">
        <v>46029.0</v>
      </c>
    </row>
    <row r="230">
      <c r="A230" s="16" t="s">
        <v>6</v>
      </c>
      <c r="B230" s="4" t="s">
        <v>128</v>
      </c>
      <c r="C230" s="4">
        <v>1.0</v>
      </c>
      <c r="D230" s="9">
        <v>46030.0</v>
      </c>
    </row>
    <row r="231">
      <c r="A231" s="16" t="s">
        <v>6</v>
      </c>
      <c r="B231" s="4" t="s">
        <v>131</v>
      </c>
      <c r="C231" s="4">
        <v>0.3</v>
      </c>
      <c r="D231" s="9">
        <v>46030.0</v>
      </c>
    </row>
    <row r="232">
      <c r="A232" s="16" t="s">
        <v>6</v>
      </c>
      <c r="B232" s="4" t="s">
        <v>157</v>
      </c>
      <c r="C232" s="4">
        <v>1.0</v>
      </c>
      <c r="D232" s="9">
        <v>46030.0</v>
      </c>
    </row>
    <row r="233">
      <c r="A233" s="16" t="s">
        <v>6</v>
      </c>
      <c r="B233" s="4" t="s">
        <v>178</v>
      </c>
      <c r="C233" s="4">
        <v>5.0</v>
      </c>
      <c r="D233" s="9">
        <v>46030.0</v>
      </c>
    </row>
    <row r="234">
      <c r="A234" s="16" t="s">
        <v>6</v>
      </c>
      <c r="B234" s="4" t="s">
        <v>131</v>
      </c>
      <c r="C234" s="4">
        <v>1.0</v>
      </c>
      <c r="D234" s="9">
        <v>46031.0</v>
      </c>
    </row>
    <row r="235">
      <c r="A235" s="16" t="s">
        <v>6</v>
      </c>
      <c r="B235" s="4" t="s">
        <v>163</v>
      </c>
      <c r="C235" s="4">
        <v>0.4</v>
      </c>
      <c r="D235" s="9">
        <v>46031.0</v>
      </c>
    </row>
    <row r="236">
      <c r="A236" s="16" t="s">
        <v>6</v>
      </c>
      <c r="B236" s="4" t="s">
        <v>178</v>
      </c>
      <c r="C236" s="4">
        <v>3.3</v>
      </c>
      <c r="D236" s="9">
        <v>46031.0</v>
      </c>
    </row>
    <row r="237">
      <c r="A237" s="16" t="s">
        <v>6</v>
      </c>
      <c r="B237" s="4" t="s">
        <v>131</v>
      </c>
      <c r="C237" s="4">
        <v>0.5</v>
      </c>
      <c r="D237" s="9">
        <v>46034.0</v>
      </c>
    </row>
    <row r="238">
      <c r="A238" s="16" t="s">
        <v>6</v>
      </c>
      <c r="B238" s="4" t="s">
        <v>125</v>
      </c>
      <c r="C238" s="4">
        <v>1.0</v>
      </c>
      <c r="D238" s="9">
        <v>46034.0</v>
      </c>
    </row>
    <row r="239">
      <c r="A239" s="16" t="s">
        <v>6</v>
      </c>
      <c r="B239" s="4" t="s">
        <v>178</v>
      </c>
      <c r="C239" s="4">
        <v>1.5</v>
      </c>
      <c r="D239" s="9">
        <v>46034.0</v>
      </c>
    </row>
    <row r="240">
      <c r="A240" s="16" t="s">
        <v>6</v>
      </c>
      <c r="B240" s="4" t="s">
        <v>179</v>
      </c>
      <c r="C240" s="4">
        <v>4.0</v>
      </c>
      <c r="D240" s="9">
        <v>46035.0</v>
      </c>
    </row>
    <row r="241">
      <c r="A241" s="16" t="s">
        <v>6</v>
      </c>
      <c r="B241" s="4" t="s">
        <v>159</v>
      </c>
      <c r="C241" s="4">
        <v>0.5</v>
      </c>
      <c r="D241" s="9">
        <v>46035.0</v>
      </c>
    </row>
    <row r="242">
      <c r="A242" s="16" t="s">
        <v>6</v>
      </c>
      <c r="B242" s="4" t="s">
        <v>178</v>
      </c>
      <c r="C242" s="4">
        <v>3.0</v>
      </c>
      <c r="D242" s="9">
        <v>46035.0</v>
      </c>
    </row>
    <row r="243">
      <c r="A243" s="16" t="s">
        <v>6</v>
      </c>
      <c r="B243" s="4" t="s">
        <v>180</v>
      </c>
      <c r="C243" s="4">
        <v>1.0</v>
      </c>
      <c r="D243" s="9">
        <v>46036.0</v>
      </c>
    </row>
    <row r="244">
      <c r="A244" s="16" t="s">
        <v>6</v>
      </c>
      <c r="B244" s="4" t="s">
        <v>159</v>
      </c>
      <c r="C244" s="4">
        <v>1.0</v>
      </c>
      <c r="D244" s="9">
        <v>46037.0</v>
      </c>
    </row>
    <row r="245">
      <c r="A245" s="16" t="s">
        <v>6</v>
      </c>
      <c r="B245" s="4" t="s">
        <v>123</v>
      </c>
      <c r="C245" s="4">
        <v>1.0</v>
      </c>
      <c r="D245" s="9">
        <v>46039.0</v>
      </c>
    </row>
    <row r="246">
      <c r="A246" s="16" t="s">
        <v>6</v>
      </c>
      <c r="B246" s="4" t="s">
        <v>163</v>
      </c>
      <c r="C246" s="4">
        <v>1.0</v>
      </c>
      <c r="D246" s="9">
        <v>46039.0</v>
      </c>
    </row>
    <row r="247">
      <c r="A247" s="16" t="s">
        <v>6</v>
      </c>
      <c r="B247" s="4" t="s">
        <v>181</v>
      </c>
      <c r="C247" s="4">
        <v>1.5</v>
      </c>
      <c r="D247" s="9">
        <v>46041.0</v>
      </c>
    </row>
    <row r="248">
      <c r="A248" s="16" t="s">
        <v>6</v>
      </c>
      <c r="B248" s="4" t="s">
        <v>163</v>
      </c>
      <c r="C248" s="4">
        <v>0.5</v>
      </c>
      <c r="D248" s="9">
        <v>46041.0</v>
      </c>
    </row>
    <row r="249">
      <c r="A249" s="16" t="s">
        <v>6</v>
      </c>
      <c r="B249" s="4" t="s">
        <v>182</v>
      </c>
      <c r="C249" s="4">
        <v>0.5</v>
      </c>
      <c r="D249" s="9">
        <v>46043.0</v>
      </c>
    </row>
    <row r="250">
      <c r="A250" s="16" t="s">
        <v>6</v>
      </c>
      <c r="B250" s="4" t="s">
        <v>159</v>
      </c>
      <c r="C250" s="4">
        <v>0.5</v>
      </c>
      <c r="D250" s="9">
        <v>46044.0</v>
      </c>
    </row>
    <row r="251">
      <c r="A251" s="16" t="s">
        <v>6</v>
      </c>
      <c r="B251" s="4" t="s">
        <v>159</v>
      </c>
      <c r="C251" s="4">
        <v>0.5</v>
      </c>
      <c r="D251" s="9">
        <v>46045.0</v>
      </c>
    </row>
    <row r="252">
      <c r="A252" s="16" t="s">
        <v>6</v>
      </c>
      <c r="B252" s="4" t="s">
        <v>159</v>
      </c>
      <c r="C252" s="4">
        <v>0.5</v>
      </c>
      <c r="D252" s="9">
        <v>46048.0</v>
      </c>
    </row>
    <row r="253">
      <c r="A253" s="16" t="s">
        <v>6</v>
      </c>
      <c r="B253" s="4" t="s">
        <v>181</v>
      </c>
      <c r="C253" s="4">
        <v>1.2</v>
      </c>
      <c r="D253" s="9">
        <v>46048.0</v>
      </c>
    </row>
    <row r="254">
      <c r="A254" s="4" t="s">
        <v>16</v>
      </c>
      <c r="B254" s="7" t="s">
        <v>183</v>
      </c>
      <c r="C254" s="7">
        <v>7.25</v>
      </c>
      <c r="D254" s="9">
        <v>46024.0</v>
      </c>
    </row>
    <row r="255">
      <c r="A255" s="4" t="s">
        <v>16</v>
      </c>
      <c r="B255" s="7" t="s">
        <v>184</v>
      </c>
      <c r="C255" s="7">
        <v>3.0</v>
      </c>
      <c r="D255" s="9">
        <v>46024.0</v>
      </c>
    </row>
    <row r="256">
      <c r="A256" s="4" t="s">
        <v>16</v>
      </c>
      <c r="B256" s="7" t="s">
        <v>185</v>
      </c>
      <c r="C256" s="7">
        <v>0.5</v>
      </c>
      <c r="D256" s="9">
        <v>46025.0</v>
      </c>
    </row>
    <row r="257">
      <c r="A257" s="4" t="s">
        <v>16</v>
      </c>
      <c r="B257" s="7" t="s">
        <v>185</v>
      </c>
      <c r="C257" s="7">
        <v>0.5</v>
      </c>
      <c r="D257" s="9">
        <v>46035.0</v>
      </c>
    </row>
    <row r="258">
      <c r="A258" s="4" t="s">
        <v>16</v>
      </c>
      <c r="B258" s="7" t="s">
        <v>185</v>
      </c>
      <c r="C258" s="7">
        <v>0.5</v>
      </c>
      <c r="D258" s="9">
        <v>46042.0</v>
      </c>
    </row>
    <row r="259">
      <c r="A259" s="4" t="s">
        <v>16</v>
      </c>
      <c r="B259" s="7" t="s">
        <v>186</v>
      </c>
      <c r="C259" s="7">
        <v>0.5</v>
      </c>
      <c r="D259" s="9">
        <v>46043.0</v>
      </c>
    </row>
    <row r="260">
      <c r="A260" s="4" t="s">
        <v>16</v>
      </c>
      <c r="B260" s="7" t="s">
        <v>187</v>
      </c>
      <c r="C260" s="7">
        <v>0.5</v>
      </c>
      <c r="D260" s="9">
        <v>46052.0</v>
      </c>
      <c r="E260" s="10">
        <f>sum(C219:C260)</f>
        <v>61.26</v>
      </c>
      <c r="F260" s="7" t="s">
        <v>188</v>
      </c>
    </row>
    <row r="261">
      <c r="A261" s="16" t="s">
        <v>6</v>
      </c>
      <c r="B261" s="7" t="s">
        <v>163</v>
      </c>
      <c r="C261" s="7">
        <v>1.0</v>
      </c>
      <c r="D261" s="9">
        <v>46055.0</v>
      </c>
    </row>
    <row r="262">
      <c r="A262" s="16" t="s">
        <v>6</v>
      </c>
      <c r="B262" s="7" t="s">
        <v>181</v>
      </c>
      <c r="C262" s="7">
        <v>0.6</v>
      </c>
      <c r="D262" s="9">
        <v>46055.0</v>
      </c>
    </row>
    <row r="263">
      <c r="A263" s="16" t="s">
        <v>6</v>
      </c>
      <c r="B263" s="7" t="s">
        <v>123</v>
      </c>
      <c r="C263" s="7">
        <v>2.45</v>
      </c>
      <c r="D263" s="9">
        <v>46056.0</v>
      </c>
    </row>
    <row r="264">
      <c r="A264" s="16" t="s">
        <v>6</v>
      </c>
      <c r="B264" s="7" t="s">
        <v>137</v>
      </c>
      <c r="C264" s="7">
        <v>0.5</v>
      </c>
      <c r="D264" s="9">
        <v>46056.0</v>
      </c>
    </row>
    <row r="265">
      <c r="A265" s="16" t="s">
        <v>6</v>
      </c>
      <c r="B265" s="7" t="s">
        <v>189</v>
      </c>
      <c r="C265" s="7">
        <v>4.0</v>
      </c>
      <c r="D265" s="9">
        <v>46056.0</v>
      </c>
    </row>
    <row r="266">
      <c r="A266" s="16" t="s">
        <v>6</v>
      </c>
      <c r="B266" s="7" t="s">
        <v>190</v>
      </c>
      <c r="C266" s="7">
        <v>4.0</v>
      </c>
      <c r="D266" s="9">
        <v>46057.0</v>
      </c>
    </row>
    <row r="267">
      <c r="A267" s="16" t="s">
        <v>6</v>
      </c>
      <c r="B267" s="7" t="s">
        <v>191</v>
      </c>
      <c r="C267" s="7">
        <v>2.5</v>
      </c>
      <c r="D267" s="9">
        <v>46059.0</v>
      </c>
    </row>
    <row r="268">
      <c r="A268" s="16" t="s">
        <v>6</v>
      </c>
      <c r="B268" s="7" t="s">
        <v>137</v>
      </c>
      <c r="C268" s="7">
        <v>1.5</v>
      </c>
      <c r="D268" s="9">
        <v>46059.0</v>
      </c>
    </row>
    <row r="269">
      <c r="A269" s="16" t="s">
        <v>6</v>
      </c>
      <c r="B269" s="7" t="s">
        <v>159</v>
      </c>
      <c r="C269" s="7">
        <v>1.0</v>
      </c>
      <c r="D269" s="9">
        <v>46059.0</v>
      </c>
    </row>
    <row r="270">
      <c r="A270" s="16" t="s">
        <v>6</v>
      </c>
      <c r="B270" s="7" t="s">
        <v>128</v>
      </c>
      <c r="C270" s="7">
        <v>0.5</v>
      </c>
      <c r="D270" s="9">
        <v>46059.0</v>
      </c>
    </row>
    <row r="271">
      <c r="A271" s="16" t="s">
        <v>6</v>
      </c>
      <c r="B271" s="7" t="s">
        <v>137</v>
      </c>
      <c r="C271" s="7">
        <v>4.5</v>
      </c>
      <c r="D271" s="9">
        <v>46060.0</v>
      </c>
    </row>
    <row r="272">
      <c r="A272" s="16" t="s">
        <v>6</v>
      </c>
      <c r="B272" s="7" t="s">
        <v>192</v>
      </c>
      <c r="C272" s="7">
        <v>1.5</v>
      </c>
      <c r="D272" s="9">
        <v>46060.0</v>
      </c>
    </row>
    <row r="273">
      <c r="A273" s="16" t="s">
        <v>6</v>
      </c>
      <c r="B273" s="7" t="s">
        <v>193</v>
      </c>
      <c r="C273" s="7">
        <v>3.0</v>
      </c>
      <c r="D273" s="9">
        <v>46062.0</v>
      </c>
    </row>
    <row r="274">
      <c r="A274" s="16" t="s">
        <v>6</v>
      </c>
      <c r="B274" s="7" t="s">
        <v>128</v>
      </c>
      <c r="C274" s="7">
        <v>1.0</v>
      </c>
      <c r="D274" s="9">
        <v>46062.0</v>
      </c>
    </row>
    <row r="275">
      <c r="A275" s="16" t="s">
        <v>6</v>
      </c>
      <c r="B275" s="7" t="s">
        <v>194</v>
      </c>
      <c r="C275" s="7">
        <v>6.0</v>
      </c>
      <c r="D275" s="9">
        <v>46062.0</v>
      </c>
    </row>
    <row r="276">
      <c r="A276" s="16" t="s">
        <v>6</v>
      </c>
      <c r="B276" s="7" t="s">
        <v>194</v>
      </c>
      <c r="C276" s="7">
        <v>1.0</v>
      </c>
      <c r="D276" s="9">
        <v>46063.0</v>
      </c>
    </row>
    <row r="277">
      <c r="A277" s="16" t="s">
        <v>6</v>
      </c>
      <c r="B277" s="7" t="s">
        <v>194</v>
      </c>
      <c r="C277" s="7">
        <v>1.5</v>
      </c>
      <c r="D277" s="9">
        <v>46063.0</v>
      </c>
    </row>
    <row r="278">
      <c r="A278" s="16" t="s">
        <v>6</v>
      </c>
      <c r="B278" s="7" t="s">
        <v>194</v>
      </c>
      <c r="C278" s="7">
        <v>4.5</v>
      </c>
      <c r="D278" s="9">
        <v>46064.0</v>
      </c>
    </row>
    <row r="279">
      <c r="A279" s="16" t="s">
        <v>6</v>
      </c>
      <c r="B279" s="7" t="s">
        <v>195</v>
      </c>
      <c r="C279" s="7">
        <v>1.0</v>
      </c>
      <c r="D279" s="9">
        <v>46064.0</v>
      </c>
    </row>
    <row r="280">
      <c r="A280" s="16" t="s">
        <v>6</v>
      </c>
      <c r="B280" s="7" t="s">
        <v>192</v>
      </c>
      <c r="C280" s="7">
        <v>0.5</v>
      </c>
      <c r="D280" s="9">
        <v>46064.0</v>
      </c>
    </row>
    <row r="281">
      <c r="A281" s="16" t="s">
        <v>6</v>
      </c>
      <c r="B281" s="7" t="s">
        <v>131</v>
      </c>
      <c r="C281" s="7">
        <v>0.5</v>
      </c>
      <c r="D281" s="9">
        <v>46064.0</v>
      </c>
    </row>
    <row r="282">
      <c r="A282" s="16" t="s">
        <v>6</v>
      </c>
      <c r="B282" s="7" t="s">
        <v>192</v>
      </c>
      <c r="C282" s="7">
        <v>0.5</v>
      </c>
      <c r="D282" s="9">
        <v>46064.0</v>
      </c>
    </row>
    <row r="283">
      <c r="A283" s="16" t="s">
        <v>6</v>
      </c>
      <c r="B283" s="7" t="s">
        <v>128</v>
      </c>
      <c r="C283" s="7">
        <v>1.0</v>
      </c>
      <c r="D283" s="9">
        <v>46066.0</v>
      </c>
    </row>
    <row r="284">
      <c r="A284" s="16" t="s">
        <v>6</v>
      </c>
      <c r="B284" s="7" t="s">
        <v>131</v>
      </c>
      <c r="C284" s="7">
        <v>1.0</v>
      </c>
      <c r="D284" s="9">
        <v>46066.0</v>
      </c>
    </row>
    <row r="285">
      <c r="A285" s="16" t="s">
        <v>6</v>
      </c>
      <c r="B285" s="7" t="s">
        <v>163</v>
      </c>
      <c r="C285" s="7">
        <v>0.5</v>
      </c>
      <c r="D285" s="9">
        <v>46066.0</v>
      </c>
    </row>
    <row r="286">
      <c r="A286" s="16" t="s">
        <v>6</v>
      </c>
      <c r="B286" s="7" t="s">
        <v>163</v>
      </c>
      <c r="C286" s="7">
        <v>0.5</v>
      </c>
      <c r="D286" s="9">
        <v>46069.0</v>
      </c>
    </row>
    <row r="287">
      <c r="A287" s="16" t="s">
        <v>6</v>
      </c>
      <c r="B287" s="7" t="s">
        <v>196</v>
      </c>
      <c r="C287" s="7">
        <v>1.5</v>
      </c>
      <c r="D287" s="9">
        <v>46069.0</v>
      </c>
    </row>
    <row r="288">
      <c r="A288" s="16" t="s">
        <v>6</v>
      </c>
      <c r="B288" s="7" t="s">
        <v>192</v>
      </c>
      <c r="C288" s="7">
        <v>1.0</v>
      </c>
      <c r="D288" s="9">
        <v>46069.0</v>
      </c>
    </row>
    <row r="289">
      <c r="A289" s="16" t="s">
        <v>6</v>
      </c>
      <c r="B289" s="7" t="s">
        <v>195</v>
      </c>
      <c r="C289" s="7">
        <v>0.5</v>
      </c>
      <c r="D289" s="9">
        <v>46071.0</v>
      </c>
    </row>
    <row r="290">
      <c r="A290" s="16" t="s">
        <v>6</v>
      </c>
      <c r="B290" s="7" t="s">
        <v>128</v>
      </c>
      <c r="C290" s="7">
        <v>1.0</v>
      </c>
      <c r="D290" s="9">
        <v>46071.0</v>
      </c>
    </row>
    <row r="291">
      <c r="A291" s="16" t="s">
        <v>6</v>
      </c>
      <c r="B291" s="7" t="s">
        <v>128</v>
      </c>
      <c r="C291" s="7">
        <v>0.5</v>
      </c>
      <c r="D291" s="9">
        <v>46072.0</v>
      </c>
    </row>
    <row r="292">
      <c r="A292" s="16" t="s">
        <v>6</v>
      </c>
      <c r="B292" s="7" t="s">
        <v>131</v>
      </c>
      <c r="C292" s="7">
        <v>0.5</v>
      </c>
      <c r="D292" s="9">
        <v>46072.0</v>
      </c>
    </row>
    <row r="293">
      <c r="A293" s="16" t="s">
        <v>6</v>
      </c>
      <c r="B293" s="7" t="s">
        <v>131</v>
      </c>
      <c r="C293" s="7">
        <v>2.0</v>
      </c>
      <c r="D293" s="9">
        <v>46073.0</v>
      </c>
    </row>
    <row r="294">
      <c r="A294" s="16" t="s">
        <v>6</v>
      </c>
      <c r="B294" s="7" t="s">
        <v>197</v>
      </c>
      <c r="C294" s="7">
        <v>3.0</v>
      </c>
      <c r="D294" s="9">
        <v>46073.0</v>
      </c>
    </row>
    <row r="295">
      <c r="A295" s="16" t="s">
        <v>6</v>
      </c>
      <c r="B295" s="7" t="s">
        <v>163</v>
      </c>
      <c r="C295" s="7">
        <v>1.5</v>
      </c>
      <c r="D295" s="9">
        <v>46074.0</v>
      </c>
    </row>
    <row r="296">
      <c r="A296" s="16" t="s">
        <v>6</v>
      </c>
      <c r="B296" s="7" t="s">
        <v>197</v>
      </c>
      <c r="C296" s="7">
        <v>1.5</v>
      </c>
      <c r="D296" s="9">
        <v>46074.0</v>
      </c>
    </row>
    <row r="297">
      <c r="A297" s="16" t="s">
        <v>6</v>
      </c>
      <c r="B297" s="7" t="s">
        <v>131</v>
      </c>
      <c r="C297" s="7">
        <v>1.0</v>
      </c>
      <c r="D297" s="9">
        <v>46074.0</v>
      </c>
    </row>
    <row r="298">
      <c r="A298" s="16" t="s">
        <v>6</v>
      </c>
      <c r="B298" s="7" t="s">
        <v>198</v>
      </c>
      <c r="C298" s="7">
        <v>2.0</v>
      </c>
      <c r="D298" s="9">
        <v>46074.0</v>
      </c>
    </row>
    <row r="299">
      <c r="A299" s="16" t="s">
        <v>6</v>
      </c>
      <c r="B299" s="7" t="s">
        <v>131</v>
      </c>
      <c r="C299" s="7">
        <v>1.5</v>
      </c>
      <c r="D299" s="9">
        <v>46076.0</v>
      </c>
    </row>
    <row r="300">
      <c r="A300" s="16" t="s">
        <v>6</v>
      </c>
      <c r="B300" s="7" t="s">
        <v>163</v>
      </c>
      <c r="C300" s="7">
        <v>1.0</v>
      </c>
      <c r="D300" s="9">
        <v>46076.0</v>
      </c>
    </row>
    <row r="301">
      <c r="A301" s="16" t="s">
        <v>6</v>
      </c>
      <c r="B301" s="7" t="s">
        <v>196</v>
      </c>
      <c r="C301" s="7">
        <v>2.5</v>
      </c>
      <c r="D301" s="9">
        <v>46076.0</v>
      </c>
    </row>
    <row r="302">
      <c r="A302" s="16" t="s">
        <v>6</v>
      </c>
      <c r="B302" s="7" t="s">
        <v>128</v>
      </c>
      <c r="C302" s="7">
        <v>1.0</v>
      </c>
      <c r="D302" s="9">
        <v>46077.0</v>
      </c>
    </row>
    <row r="303">
      <c r="A303" s="16" t="s">
        <v>6</v>
      </c>
      <c r="B303" s="7" t="s">
        <v>157</v>
      </c>
      <c r="C303" s="7">
        <v>1.0</v>
      </c>
      <c r="D303" s="9">
        <v>46077.0</v>
      </c>
    </row>
    <row r="304">
      <c r="A304" s="16" t="s">
        <v>6</v>
      </c>
      <c r="B304" s="7" t="s">
        <v>195</v>
      </c>
      <c r="C304" s="7">
        <v>0.5</v>
      </c>
      <c r="D304" s="9">
        <v>46078.0</v>
      </c>
    </row>
    <row r="305">
      <c r="A305" s="16" t="s">
        <v>6</v>
      </c>
      <c r="B305" s="7" t="s">
        <v>128</v>
      </c>
      <c r="C305" s="7">
        <v>0.5</v>
      </c>
      <c r="D305" s="9">
        <v>46080.0</v>
      </c>
    </row>
    <row r="306">
      <c r="A306" s="20" t="s">
        <v>199</v>
      </c>
      <c r="B306" s="7" t="s">
        <v>200</v>
      </c>
      <c r="C306" s="7">
        <v>4.0</v>
      </c>
      <c r="D306" s="9">
        <v>46065.0</v>
      </c>
    </row>
    <row r="307">
      <c r="A307" s="20" t="s">
        <v>199</v>
      </c>
      <c r="B307" s="7" t="s">
        <v>200</v>
      </c>
      <c r="C307" s="7">
        <v>3.0</v>
      </c>
      <c r="D307" s="9">
        <v>46068.0</v>
      </c>
    </row>
    <row r="308">
      <c r="A308" s="20" t="s">
        <v>199</v>
      </c>
      <c r="B308" s="7" t="s">
        <v>201</v>
      </c>
      <c r="C308" s="7">
        <v>4.0</v>
      </c>
      <c r="D308" s="9">
        <v>46070.0</v>
      </c>
    </row>
    <row r="309">
      <c r="A309" s="7" t="s">
        <v>106</v>
      </c>
      <c r="B309" s="7" t="s">
        <v>202</v>
      </c>
      <c r="C309" s="7">
        <v>1.1</v>
      </c>
      <c r="D309" s="21">
        <v>46072.0</v>
      </c>
    </row>
    <row r="310">
      <c r="A310" s="22" t="s">
        <v>23</v>
      </c>
      <c r="B310" s="22" t="s">
        <v>203</v>
      </c>
      <c r="C310" s="7">
        <v>1.02</v>
      </c>
      <c r="D310" s="21">
        <v>46071.0</v>
      </c>
    </row>
    <row r="311">
      <c r="A311" s="7" t="s">
        <v>204</v>
      </c>
      <c r="B311" s="7" t="s">
        <v>205</v>
      </c>
      <c r="C311" s="7">
        <v>2.92</v>
      </c>
      <c r="D311" s="21">
        <v>46072.0</v>
      </c>
    </row>
    <row r="312">
      <c r="A312" s="7" t="s">
        <v>206</v>
      </c>
      <c r="B312" s="7" t="s">
        <v>205</v>
      </c>
      <c r="C312" s="7">
        <v>2.56</v>
      </c>
      <c r="D312" s="21">
        <v>46072.0</v>
      </c>
    </row>
    <row r="313">
      <c r="A313" s="7" t="s">
        <v>207</v>
      </c>
      <c r="B313" s="7" t="s">
        <v>208</v>
      </c>
      <c r="C313" s="7">
        <v>4.62</v>
      </c>
      <c r="D313" s="21">
        <v>46062.0</v>
      </c>
    </row>
    <row r="314">
      <c r="A314" s="7" t="s">
        <v>13</v>
      </c>
      <c r="B314" s="7" t="s">
        <v>209</v>
      </c>
      <c r="C314" s="7">
        <v>0.85</v>
      </c>
      <c r="D314" s="21">
        <v>46056.0</v>
      </c>
    </row>
    <row r="315">
      <c r="A315" s="7" t="s">
        <v>13</v>
      </c>
      <c r="B315" s="7" t="s">
        <v>210</v>
      </c>
      <c r="C315" s="7">
        <v>0.91</v>
      </c>
      <c r="D315" s="21">
        <v>46063.0</v>
      </c>
    </row>
    <row r="316">
      <c r="A316" s="7" t="s">
        <v>13</v>
      </c>
      <c r="B316" s="7" t="s">
        <v>211</v>
      </c>
      <c r="C316" s="7">
        <v>0.7</v>
      </c>
      <c r="D316" s="21">
        <v>46070.0</v>
      </c>
    </row>
    <row r="317">
      <c r="A317" s="7" t="s">
        <v>13</v>
      </c>
      <c r="B317" s="7" t="s">
        <v>212</v>
      </c>
      <c r="C317" s="7">
        <v>0.69</v>
      </c>
      <c r="D317" s="21">
        <v>46077.0</v>
      </c>
      <c r="E317" s="6">
        <f>sum(C261:C317)</f>
        <v>96.92</v>
      </c>
      <c r="F317" s="7" t="s">
        <v>213</v>
      </c>
    </row>
    <row r="318">
      <c r="A318" s="7" t="s">
        <v>206</v>
      </c>
      <c r="B318" s="7" t="s">
        <v>214</v>
      </c>
      <c r="C318" s="7">
        <v>2.16</v>
      </c>
      <c r="D318" s="21">
        <v>46093.0</v>
      </c>
    </row>
    <row r="319">
      <c r="A319" s="7" t="s">
        <v>204</v>
      </c>
      <c r="B319" s="7" t="s">
        <v>214</v>
      </c>
      <c r="C319" s="7">
        <v>2.04</v>
      </c>
      <c r="D319" s="21">
        <v>46093.0</v>
      </c>
    </row>
    <row r="320">
      <c r="A320" s="7" t="s">
        <v>23</v>
      </c>
      <c r="B320" s="7" t="s">
        <v>214</v>
      </c>
      <c r="C320" s="7">
        <v>1.05</v>
      </c>
      <c r="D320" s="21">
        <v>46100.0</v>
      </c>
    </row>
    <row r="321">
      <c r="A321" s="16" t="s">
        <v>6</v>
      </c>
      <c r="B321" s="7" t="s">
        <v>215</v>
      </c>
      <c r="C321" s="7">
        <v>2.5</v>
      </c>
      <c r="D321" s="21">
        <v>46083.0</v>
      </c>
    </row>
    <row r="322">
      <c r="A322" s="16" t="s">
        <v>6</v>
      </c>
      <c r="B322" s="7" t="s">
        <v>216</v>
      </c>
      <c r="C322" s="7">
        <v>1.0</v>
      </c>
      <c r="D322" s="21">
        <v>46083.0</v>
      </c>
    </row>
    <row r="323">
      <c r="A323" s="16" t="s">
        <v>6</v>
      </c>
      <c r="B323" s="7" t="s">
        <v>128</v>
      </c>
      <c r="C323" s="7">
        <v>0.75</v>
      </c>
      <c r="D323" s="21">
        <v>46083.0</v>
      </c>
    </row>
    <row r="324">
      <c r="A324" s="16" t="s">
        <v>6</v>
      </c>
      <c r="B324" s="7" t="s">
        <v>128</v>
      </c>
      <c r="C324" s="7">
        <v>0.5</v>
      </c>
      <c r="D324" s="21">
        <v>46084.0</v>
      </c>
    </row>
    <row r="325">
      <c r="A325" s="16" t="s">
        <v>6</v>
      </c>
      <c r="B325" s="7" t="s">
        <v>176</v>
      </c>
      <c r="C325" s="7">
        <v>3.5</v>
      </c>
      <c r="D325" s="21">
        <v>46084.0</v>
      </c>
    </row>
    <row r="326">
      <c r="A326" s="16" t="s">
        <v>6</v>
      </c>
      <c r="B326" s="7" t="s">
        <v>217</v>
      </c>
      <c r="C326" s="7">
        <v>2.5</v>
      </c>
      <c r="D326" s="21">
        <v>46084.0</v>
      </c>
    </row>
    <row r="327">
      <c r="A327" s="16" t="s">
        <v>6</v>
      </c>
      <c r="B327" s="7" t="s">
        <v>177</v>
      </c>
      <c r="C327" s="7">
        <v>3.0</v>
      </c>
      <c r="D327" s="21">
        <v>46085.0</v>
      </c>
    </row>
    <row r="328">
      <c r="A328" s="16" t="s">
        <v>6</v>
      </c>
      <c r="B328" s="7" t="s">
        <v>120</v>
      </c>
      <c r="C328" s="7">
        <v>4.0</v>
      </c>
      <c r="D328" s="21">
        <v>46086.0</v>
      </c>
    </row>
    <row r="329">
      <c r="A329" s="16" t="s">
        <v>6</v>
      </c>
      <c r="B329" s="7" t="s">
        <v>218</v>
      </c>
      <c r="C329" s="7">
        <v>4.0</v>
      </c>
      <c r="D329" s="21">
        <v>46086.0</v>
      </c>
    </row>
    <row r="330">
      <c r="A330" s="16" t="s">
        <v>6</v>
      </c>
      <c r="B330" s="7" t="s">
        <v>218</v>
      </c>
      <c r="C330" s="7">
        <v>7.0</v>
      </c>
      <c r="D330" s="21">
        <v>46087.0</v>
      </c>
    </row>
    <row r="331">
      <c r="A331" s="16" t="s">
        <v>6</v>
      </c>
      <c r="B331" s="7" t="s">
        <v>219</v>
      </c>
      <c r="C331" s="7">
        <v>2.5</v>
      </c>
      <c r="D331" s="21">
        <v>46090.0</v>
      </c>
    </row>
    <row r="332">
      <c r="A332" s="16" t="s">
        <v>6</v>
      </c>
      <c r="B332" s="7" t="s">
        <v>220</v>
      </c>
      <c r="C332" s="7">
        <v>4.0</v>
      </c>
      <c r="D332" s="21">
        <v>46091.0</v>
      </c>
    </row>
    <row r="333">
      <c r="A333" s="16" t="s">
        <v>6</v>
      </c>
      <c r="B333" s="7" t="s">
        <v>221</v>
      </c>
      <c r="C333" s="7">
        <v>3.5</v>
      </c>
      <c r="D333" s="21">
        <v>46091.0</v>
      </c>
    </row>
    <row r="334">
      <c r="A334" s="16" t="s">
        <v>6</v>
      </c>
      <c r="B334" s="7" t="s">
        <v>131</v>
      </c>
      <c r="C334" s="7">
        <v>0.4</v>
      </c>
      <c r="D334" s="21">
        <v>46092.0</v>
      </c>
    </row>
    <row r="335">
      <c r="A335" s="16" t="s">
        <v>6</v>
      </c>
      <c r="B335" s="7" t="s">
        <v>222</v>
      </c>
      <c r="C335" s="7">
        <v>1.0</v>
      </c>
      <c r="D335" s="21">
        <v>46093.0</v>
      </c>
    </row>
    <row r="336">
      <c r="A336" s="16" t="s">
        <v>6</v>
      </c>
      <c r="B336" s="7" t="s">
        <v>157</v>
      </c>
      <c r="C336" s="7">
        <v>1.0</v>
      </c>
      <c r="D336" s="21">
        <v>46094.0</v>
      </c>
    </row>
    <row r="337">
      <c r="A337" s="16" t="s">
        <v>6</v>
      </c>
      <c r="B337" s="7" t="s">
        <v>215</v>
      </c>
      <c r="C337" s="7">
        <v>2.1</v>
      </c>
      <c r="D337" s="21">
        <v>46097.0</v>
      </c>
    </row>
    <row r="338">
      <c r="A338" s="16" t="s">
        <v>6</v>
      </c>
      <c r="B338" s="7" t="s">
        <v>216</v>
      </c>
      <c r="C338" s="7">
        <v>1.0</v>
      </c>
      <c r="D338" s="21">
        <v>46097.0</v>
      </c>
    </row>
    <row r="339">
      <c r="A339" s="16" t="s">
        <v>6</v>
      </c>
      <c r="B339" s="7" t="s">
        <v>128</v>
      </c>
      <c r="C339" s="7">
        <v>1.75</v>
      </c>
      <c r="D339" s="21">
        <v>46097.0</v>
      </c>
    </row>
    <row r="340">
      <c r="A340" s="16" t="s">
        <v>6</v>
      </c>
      <c r="B340" s="7" t="s">
        <v>131</v>
      </c>
      <c r="C340" s="7">
        <v>1.0</v>
      </c>
      <c r="D340" s="21">
        <v>46098.0</v>
      </c>
    </row>
    <row r="341">
      <c r="A341" s="16" t="s">
        <v>6</v>
      </c>
      <c r="B341" s="7" t="s">
        <v>223</v>
      </c>
      <c r="C341" s="7">
        <v>7.0</v>
      </c>
      <c r="D341" s="21">
        <v>46098.0</v>
      </c>
      <c r="E341" s="7" t="s">
        <v>224</v>
      </c>
    </row>
    <row r="342">
      <c r="A342" s="16" t="s">
        <v>6</v>
      </c>
      <c r="B342" s="7" t="s">
        <v>131</v>
      </c>
      <c r="C342" s="7">
        <v>0.5</v>
      </c>
      <c r="D342" s="21">
        <v>46099.0</v>
      </c>
    </row>
    <row r="343">
      <c r="A343" s="16" t="s">
        <v>6</v>
      </c>
      <c r="B343" s="7" t="s">
        <v>131</v>
      </c>
      <c r="C343" s="7">
        <v>0.5</v>
      </c>
      <c r="D343" s="21">
        <v>46101.0</v>
      </c>
    </row>
    <row r="344">
      <c r="A344" s="16" t="s">
        <v>6</v>
      </c>
      <c r="B344" s="7" t="s">
        <v>193</v>
      </c>
      <c r="C344" s="7">
        <v>0.5</v>
      </c>
      <c r="D344" s="21">
        <v>46104.0</v>
      </c>
    </row>
    <row r="345">
      <c r="A345" s="16" t="s">
        <v>6</v>
      </c>
      <c r="B345" s="7" t="s">
        <v>193</v>
      </c>
      <c r="C345" s="7">
        <v>0.5</v>
      </c>
      <c r="D345" s="21">
        <v>46111.0</v>
      </c>
    </row>
    <row r="346">
      <c r="A346" s="16" t="s">
        <v>6</v>
      </c>
      <c r="B346" s="7" t="s">
        <v>225</v>
      </c>
      <c r="C346" s="7">
        <v>2.0</v>
      </c>
      <c r="D346" s="21">
        <v>46111.0</v>
      </c>
    </row>
    <row r="347">
      <c r="A347" s="16" t="s">
        <v>6</v>
      </c>
      <c r="B347" s="7" t="s">
        <v>159</v>
      </c>
      <c r="C347" s="7">
        <v>2.5</v>
      </c>
      <c r="D347" s="21">
        <v>46112.0</v>
      </c>
    </row>
    <row r="348">
      <c r="A348" s="7" t="s">
        <v>13</v>
      </c>
      <c r="B348" s="7" t="s">
        <v>226</v>
      </c>
      <c r="C348" s="7">
        <v>0.75</v>
      </c>
      <c r="D348" s="21">
        <v>46084.0</v>
      </c>
    </row>
    <row r="349">
      <c r="A349" s="7" t="s">
        <v>13</v>
      </c>
      <c r="B349" s="7" t="s">
        <v>226</v>
      </c>
      <c r="C349" s="7">
        <v>0.75</v>
      </c>
      <c r="D349" s="21">
        <v>46091.0</v>
      </c>
    </row>
    <row r="350">
      <c r="A350" s="7" t="s">
        <v>13</v>
      </c>
      <c r="B350" s="7" t="s">
        <v>226</v>
      </c>
      <c r="C350" s="7">
        <v>0.75</v>
      </c>
      <c r="D350" s="21">
        <v>46098.0</v>
      </c>
    </row>
    <row r="351">
      <c r="A351" s="7" t="s">
        <v>13</v>
      </c>
      <c r="B351" s="7" t="s">
        <v>226</v>
      </c>
      <c r="C351" s="7">
        <v>0.75</v>
      </c>
      <c r="D351" s="21">
        <v>46105.0</v>
      </c>
    </row>
    <row r="352">
      <c r="A352" s="20" t="s">
        <v>199</v>
      </c>
      <c r="B352" s="7" t="s">
        <v>227</v>
      </c>
      <c r="C352" s="7">
        <v>3.5</v>
      </c>
      <c r="D352" s="21">
        <v>46090.0</v>
      </c>
    </row>
    <row r="353">
      <c r="A353" s="20" t="s">
        <v>199</v>
      </c>
      <c r="B353" s="7" t="s">
        <v>227</v>
      </c>
      <c r="C353" s="7">
        <v>3.0</v>
      </c>
      <c r="D353" s="21">
        <v>46091.0</v>
      </c>
    </row>
    <row r="354">
      <c r="A354" s="20" t="s">
        <v>199</v>
      </c>
      <c r="B354" s="7" t="s">
        <v>227</v>
      </c>
      <c r="C354" s="7">
        <v>3.15</v>
      </c>
      <c r="D354" s="21">
        <v>46091.0</v>
      </c>
    </row>
    <row r="355">
      <c r="A355" s="20" t="s">
        <v>199</v>
      </c>
      <c r="B355" s="7" t="s">
        <v>227</v>
      </c>
      <c r="C355" s="7">
        <v>1.0</v>
      </c>
      <c r="D355" s="21">
        <v>46092.0</v>
      </c>
    </row>
    <row r="356">
      <c r="A356" s="20" t="s">
        <v>199</v>
      </c>
      <c r="B356" s="7" t="s">
        <v>227</v>
      </c>
      <c r="C356" s="7">
        <v>1.0</v>
      </c>
      <c r="D356" s="21">
        <v>46097.0</v>
      </c>
    </row>
    <row r="357">
      <c r="A357" s="23" t="s">
        <v>228</v>
      </c>
      <c r="B357" s="7" t="s">
        <v>229</v>
      </c>
      <c r="C357" s="7">
        <v>4.0</v>
      </c>
      <c r="D357" s="21">
        <v>46101.0</v>
      </c>
      <c r="G357" s="24" t="s">
        <v>230</v>
      </c>
    </row>
    <row r="358">
      <c r="A358" s="23" t="s">
        <v>228</v>
      </c>
      <c r="B358" s="7" t="s">
        <v>231</v>
      </c>
      <c r="C358" s="7">
        <v>2.0</v>
      </c>
      <c r="D358" s="21">
        <v>46102.0</v>
      </c>
      <c r="G358" s="25" t="str">
        <f>A347</f>
        <v>Collectiv </v>
      </c>
      <c r="H358" s="26">
        <f>sumif(A318:A362,G358,C318:C362)</f>
        <v>60.5</v>
      </c>
      <c r="I358" s="6">
        <f t="shared" ref="I358:I361" si="1">H358*16</f>
        <v>968</v>
      </c>
    </row>
    <row r="359">
      <c r="A359" s="23" t="s">
        <v>228</v>
      </c>
      <c r="B359" s="7" t="s">
        <v>231</v>
      </c>
      <c r="C359" s="7">
        <v>1.0</v>
      </c>
      <c r="D359" s="21">
        <v>46106.0</v>
      </c>
      <c r="G359" s="25" t="str">
        <f>A354</f>
        <v>Sales Tax</v>
      </c>
      <c r="H359" s="26">
        <f>sumif(A318:A362,G359,C318:C362)</f>
        <v>11.65</v>
      </c>
      <c r="I359" s="6">
        <f t="shared" si="1"/>
        <v>186.4</v>
      </c>
    </row>
    <row r="360">
      <c r="A360" s="23" t="s">
        <v>228</v>
      </c>
      <c r="B360" s="7" t="s">
        <v>231</v>
      </c>
      <c r="C360" s="7">
        <v>2.0</v>
      </c>
      <c r="D360" s="21">
        <v>46107.0</v>
      </c>
      <c r="G360" s="27" t="str">
        <f>A350</f>
        <v>Internal </v>
      </c>
      <c r="H360" s="26">
        <f>sumif(A318:A362,G360,C318:C362)</f>
        <v>3</v>
      </c>
      <c r="I360" s="6">
        <f t="shared" si="1"/>
        <v>48</v>
      </c>
    </row>
    <row r="361">
      <c r="A361" s="23" t="s">
        <v>228</v>
      </c>
      <c r="B361" s="7" t="s">
        <v>232</v>
      </c>
      <c r="C361" s="7">
        <v>1.5</v>
      </c>
      <c r="D361" s="21">
        <v>46108.0</v>
      </c>
      <c r="G361" s="27" t="s">
        <v>233</v>
      </c>
      <c r="H361" s="26">
        <f>E362-sum(H358:H360)</f>
        <v>24</v>
      </c>
      <c r="I361" s="6">
        <f t="shared" si="1"/>
        <v>384</v>
      </c>
    </row>
    <row r="362">
      <c r="A362" s="23" t="s">
        <v>234</v>
      </c>
      <c r="B362" s="7" t="s">
        <v>235</v>
      </c>
      <c r="C362" s="7">
        <v>8.25</v>
      </c>
      <c r="D362" s="21">
        <v>46112.0</v>
      </c>
      <c r="E362" s="6">
        <f>sum(C318:C362)</f>
        <v>99.15</v>
      </c>
    </row>
    <row r="363">
      <c r="A363" s="16" t="s">
        <v>6</v>
      </c>
      <c r="B363" s="7" t="s">
        <v>128</v>
      </c>
      <c r="C363" s="7">
        <v>1.5</v>
      </c>
      <c r="D363" s="21">
        <v>46114.0</v>
      </c>
    </row>
    <row r="364">
      <c r="A364" s="16" t="s">
        <v>6</v>
      </c>
      <c r="B364" s="7" t="s">
        <v>131</v>
      </c>
      <c r="C364" s="7">
        <v>0.5</v>
      </c>
      <c r="D364" s="21">
        <v>46115.0</v>
      </c>
    </row>
    <row r="365">
      <c r="A365" s="16" t="s">
        <v>6</v>
      </c>
      <c r="B365" s="7" t="s">
        <v>236</v>
      </c>
      <c r="C365" s="7">
        <v>7.5</v>
      </c>
      <c r="D365" s="21">
        <v>46116.0</v>
      </c>
    </row>
    <row r="366">
      <c r="A366" s="16" t="s">
        <v>6</v>
      </c>
      <c r="B366" s="7" t="s">
        <v>237</v>
      </c>
      <c r="C366" s="7">
        <v>3.0</v>
      </c>
      <c r="D366" s="21">
        <v>46118.0</v>
      </c>
    </row>
    <row r="367">
      <c r="A367" s="16" t="s">
        <v>6</v>
      </c>
      <c r="B367" s="7" t="s">
        <v>238</v>
      </c>
      <c r="C367" s="7">
        <v>2.5</v>
      </c>
      <c r="D367" s="21">
        <v>46118.0</v>
      </c>
    </row>
    <row r="368">
      <c r="A368" s="16" t="s">
        <v>6</v>
      </c>
      <c r="B368" s="7" t="s">
        <v>238</v>
      </c>
      <c r="C368" s="7">
        <v>5.5</v>
      </c>
      <c r="D368" s="21">
        <v>46119.0</v>
      </c>
    </row>
    <row r="369">
      <c r="A369" s="16" t="s">
        <v>6</v>
      </c>
      <c r="B369" s="7" t="s">
        <v>238</v>
      </c>
      <c r="C369" s="7">
        <v>4.5</v>
      </c>
      <c r="D369" s="21">
        <v>46120.0</v>
      </c>
    </row>
    <row r="370">
      <c r="A370" s="16" t="s">
        <v>6</v>
      </c>
      <c r="B370" s="7" t="s">
        <v>118</v>
      </c>
      <c r="C370" s="7">
        <v>5.0</v>
      </c>
      <c r="D370" s="21">
        <v>46121.0</v>
      </c>
    </row>
    <row r="371">
      <c r="A371" s="16" t="s">
        <v>6</v>
      </c>
      <c r="B371" s="7" t="s">
        <v>131</v>
      </c>
      <c r="C371" s="7">
        <v>1.0</v>
      </c>
      <c r="D371" s="21">
        <v>46121.0</v>
      </c>
    </row>
    <row r="372">
      <c r="A372" s="16" t="s">
        <v>6</v>
      </c>
      <c r="B372" s="7" t="s">
        <v>239</v>
      </c>
      <c r="C372" s="7">
        <v>3.0</v>
      </c>
      <c r="D372" s="21">
        <v>46122.0</v>
      </c>
    </row>
    <row r="373">
      <c r="A373" s="16" t="s">
        <v>6</v>
      </c>
      <c r="B373" s="7" t="s">
        <v>240</v>
      </c>
      <c r="C373" s="7">
        <v>1.5</v>
      </c>
      <c r="D373" s="21">
        <v>46125.0</v>
      </c>
    </row>
    <row r="374">
      <c r="A374" s="16" t="s">
        <v>6</v>
      </c>
      <c r="B374" s="7" t="s">
        <v>237</v>
      </c>
      <c r="C374" s="7">
        <v>3.0</v>
      </c>
      <c r="D374" s="21">
        <v>46125.0</v>
      </c>
    </row>
    <row r="375">
      <c r="A375" s="16" t="s">
        <v>6</v>
      </c>
      <c r="B375" s="7" t="s">
        <v>241</v>
      </c>
      <c r="C375" s="7">
        <v>1.5</v>
      </c>
      <c r="D375" s="21">
        <v>46126.0</v>
      </c>
    </row>
    <row r="376">
      <c r="A376" s="20" t="s">
        <v>199</v>
      </c>
      <c r="B376" s="7" t="s">
        <v>227</v>
      </c>
      <c r="C376" s="7">
        <v>3.5</v>
      </c>
      <c r="D376" s="21">
        <v>46122.0</v>
      </c>
    </row>
    <row r="377">
      <c r="A377" s="20" t="s">
        <v>199</v>
      </c>
      <c r="B377" s="7" t="s">
        <v>227</v>
      </c>
      <c r="C377" s="7">
        <v>5.0</v>
      </c>
      <c r="D377" s="21">
        <v>46125.0</v>
      </c>
    </row>
    <row r="378">
      <c r="A378" s="20" t="s">
        <v>199</v>
      </c>
      <c r="B378" s="7" t="s">
        <v>227</v>
      </c>
      <c r="C378" s="7">
        <v>0.5</v>
      </c>
      <c r="D378" s="21">
        <v>46126.0</v>
      </c>
    </row>
  </sheetData>
  <mergeCells count="2">
    <mergeCell ref="G4:H4"/>
    <mergeCell ref="G357:H357"/>
  </mergeCells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0</v>
      </c>
      <c r="B1" s="29" t="s">
        <v>1</v>
      </c>
      <c r="C1" s="29" t="s">
        <v>2</v>
      </c>
      <c r="D1" s="30" t="s">
        <v>3</v>
      </c>
    </row>
    <row r="2">
      <c r="A2" s="31" t="s">
        <v>6</v>
      </c>
      <c r="B2" s="32" t="s">
        <v>7</v>
      </c>
      <c r="C2" s="32">
        <v>3.0</v>
      </c>
      <c r="D2" s="33">
        <v>45860.0</v>
      </c>
    </row>
    <row r="3">
      <c r="A3" s="31" t="s">
        <v>6</v>
      </c>
      <c r="B3" s="32" t="s">
        <v>8</v>
      </c>
      <c r="C3" s="32">
        <v>1.0</v>
      </c>
      <c r="D3" s="33">
        <v>45861.0</v>
      </c>
    </row>
    <row r="4">
      <c r="A4" s="31" t="s">
        <v>6</v>
      </c>
      <c r="B4" s="32" t="s">
        <v>9</v>
      </c>
      <c r="C4" s="32">
        <v>1.1</v>
      </c>
      <c r="D4" s="33">
        <v>45862.0</v>
      </c>
    </row>
    <row r="5">
      <c r="A5" s="31" t="s">
        <v>6</v>
      </c>
      <c r="B5" s="32" t="s">
        <v>11</v>
      </c>
      <c r="C5" s="32">
        <v>2.1</v>
      </c>
      <c r="D5" s="33">
        <v>45866.0</v>
      </c>
    </row>
    <row r="6">
      <c r="A6" s="31" t="s">
        <v>13</v>
      </c>
      <c r="B6" s="32" t="s">
        <v>14</v>
      </c>
      <c r="C6" s="32">
        <v>0.5</v>
      </c>
      <c r="D6" s="33">
        <v>45868.0</v>
      </c>
    </row>
    <row r="7">
      <c r="A7" s="31" t="s">
        <v>6</v>
      </c>
      <c r="B7" s="32" t="s">
        <v>15</v>
      </c>
      <c r="C7" s="32">
        <v>1.8</v>
      </c>
      <c r="D7" s="33">
        <v>45868.0</v>
      </c>
    </row>
    <row r="8">
      <c r="A8" s="31" t="s">
        <v>17</v>
      </c>
      <c r="B8" s="32" t="s">
        <v>18</v>
      </c>
      <c r="C8" s="32">
        <v>1.1</v>
      </c>
      <c r="D8" s="34">
        <v>45870.0</v>
      </c>
    </row>
    <row r="9">
      <c r="A9" s="31" t="s">
        <v>6</v>
      </c>
      <c r="B9" s="32" t="s">
        <v>19</v>
      </c>
      <c r="C9" s="32">
        <v>3.5</v>
      </c>
      <c r="D9" s="34">
        <v>45873.0</v>
      </c>
    </row>
    <row r="10">
      <c r="A10" s="31" t="s">
        <v>6</v>
      </c>
      <c r="B10" s="32" t="s">
        <v>20</v>
      </c>
      <c r="C10" s="32">
        <v>1.5</v>
      </c>
      <c r="D10" s="34">
        <v>45873.0</v>
      </c>
    </row>
    <row r="11">
      <c r="A11" s="31" t="s">
        <v>6</v>
      </c>
      <c r="B11" s="32" t="s">
        <v>22</v>
      </c>
      <c r="C11" s="32">
        <v>2.0</v>
      </c>
      <c r="D11" s="34">
        <v>45874.0</v>
      </c>
    </row>
    <row r="12">
      <c r="A12" s="31" t="s">
        <v>6</v>
      </c>
      <c r="B12" s="32" t="s">
        <v>24</v>
      </c>
      <c r="C12" s="32">
        <v>2.0</v>
      </c>
      <c r="D12" s="34">
        <v>45875.0</v>
      </c>
    </row>
    <row r="13">
      <c r="A13" s="31" t="s">
        <v>6</v>
      </c>
      <c r="B13" s="32" t="s">
        <v>26</v>
      </c>
      <c r="C13" s="32">
        <v>1.9</v>
      </c>
      <c r="D13" s="34">
        <v>45877.0</v>
      </c>
    </row>
    <row r="14">
      <c r="A14" s="31" t="s">
        <v>13</v>
      </c>
      <c r="B14" s="32" t="s">
        <v>27</v>
      </c>
      <c r="C14" s="32">
        <v>0.8</v>
      </c>
      <c r="D14" s="34">
        <v>45877.0</v>
      </c>
    </row>
    <row r="15">
      <c r="A15" s="31" t="s">
        <v>6</v>
      </c>
      <c r="B15" s="32" t="s">
        <v>28</v>
      </c>
      <c r="C15" s="32">
        <v>1.4</v>
      </c>
      <c r="D15" s="34">
        <v>45877.0</v>
      </c>
    </row>
    <row r="16">
      <c r="A16" s="31" t="s">
        <v>6</v>
      </c>
      <c r="B16" s="32" t="s">
        <v>29</v>
      </c>
      <c r="C16" s="32">
        <v>1.0</v>
      </c>
      <c r="D16" s="34">
        <v>45880.0</v>
      </c>
    </row>
    <row r="17">
      <c r="A17" s="31" t="s">
        <v>6</v>
      </c>
      <c r="B17" s="32" t="s">
        <v>30</v>
      </c>
      <c r="C17" s="32">
        <v>1.5</v>
      </c>
      <c r="D17" s="34">
        <v>45880.0</v>
      </c>
    </row>
    <row r="18">
      <c r="A18" s="31" t="s">
        <v>6</v>
      </c>
      <c r="B18" s="32" t="s">
        <v>31</v>
      </c>
      <c r="C18" s="32">
        <v>4.0</v>
      </c>
      <c r="D18" s="34">
        <v>45880.0</v>
      </c>
    </row>
    <row r="19">
      <c r="A19" s="31" t="s">
        <v>6</v>
      </c>
      <c r="B19" s="32" t="s">
        <v>32</v>
      </c>
      <c r="C19" s="32">
        <v>1.5</v>
      </c>
      <c r="D19" s="34">
        <v>45880.0</v>
      </c>
    </row>
    <row r="20">
      <c r="A20" s="31" t="s">
        <v>17</v>
      </c>
      <c r="B20" s="32" t="s">
        <v>33</v>
      </c>
      <c r="C20" s="32">
        <v>0.5</v>
      </c>
      <c r="D20" s="34">
        <v>45881.0</v>
      </c>
    </row>
    <row r="21">
      <c r="A21" s="31" t="s">
        <v>6</v>
      </c>
      <c r="B21" s="32" t="s">
        <v>34</v>
      </c>
      <c r="C21" s="32">
        <v>1.5</v>
      </c>
      <c r="D21" s="34">
        <v>45881.0</v>
      </c>
    </row>
    <row r="22">
      <c r="A22" s="31" t="s">
        <v>6</v>
      </c>
      <c r="B22" s="32" t="s">
        <v>35</v>
      </c>
      <c r="C22" s="32">
        <v>2.0</v>
      </c>
      <c r="D22" s="34">
        <v>45881.0</v>
      </c>
    </row>
    <row r="23">
      <c r="A23" s="31" t="s">
        <v>6</v>
      </c>
      <c r="B23" s="32" t="s">
        <v>36</v>
      </c>
      <c r="C23" s="32">
        <v>1.0</v>
      </c>
      <c r="D23" s="33">
        <v>45883.0</v>
      </c>
    </row>
    <row r="24">
      <c r="A24" s="31" t="s">
        <v>13</v>
      </c>
      <c r="B24" s="32" t="s">
        <v>27</v>
      </c>
      <c r="C24" s="32">
        <v>0.7</v>
      </c>
      <c r="D24" s="33">
        <v>45884.0</v>
      </c>
    </row>
    <row r="25">
      <c r="A25" s="31" t="s">
        <v>6</v>
      </c>
      <c r="B25" s="32" t="s">
        <v>37</v>
      </c>
      <c r="C25" s="32">
        <v>0.9</v>
      </c>
      <c r="D25" s="33">
        <v>45884.0</v>
      </c>
    </row>
    <row r="26">
      <c r="A26" s="31" t="s">
        <v>6</v>
      </c>
      <c r="B26" s="32" t="s">
        <v>38</v>
      </c>
      <c r="C26" s="32">
        <v>1.4</v>
      </c>
      <c r="D26" s="33">
        <v>45887.0</v>
      </c>
    </row>
    <row r="27">
      <c r="A27" s="31" t="s">
        <v>6</v>
      </c>
      <c r="B27" s="32" t="s">
        <v>39</v>
      </c>
      <c r="C27" s="32">
        <v>3.5</v>
      </c>
      <c r="D27" s="33">
        <v>45887.0</v>
      </c>
    </row>
    <row r="28">
      <c r="A28" s="31" t="s">
        <v>6</v>
      </c>
      <c r="B28" s="32" t="s">
        <v>40</v>
      </c>
      <c r="C28" s="32">
        <v>3.6</v>
      </c>
      <c r="D28" s="33">
        <v>45887.0</v>
      </c>
    </row>
    <row r="29">
      <c r="A29" s="31" t="s">
        <v>6</v>
      </c>
      <c r="B29" s="32" t="s">
        <v>41</v>
      </c>
      <c r="C29" s="32">
        <v>2.0</v>
      </c>
      <c r="D29" s="33">
        <v>45887.0</v>
      </c>
    </row>
    <row r="30">
      <c r="A30" s="31" t="s">
        <v>6</v>
      </c>
      <c r="B30" s="32" t="s">
        <v>42</v>
      </c>
      <c r="C30" s="32">
        <v>1.6</v>
      </c>
      <c r="D30" s="33">
        <v>45887.0</v>
      </c>
    </row>
    <row r="31">
      <c r="A31" s="31" t="s">
        <v>13</v>
      </c>
      <c r="B31" s="32" t="s">
        <v>43</v>
      </c>
      <c r="C31" s="32">
        <v>0.85</v>
      </c>
      <c r="D31" s="33">
        <v>45890.0</v>
      </c>
    </row>
    <row r="32">
      <c r="A32" s="31" t="s">
        <v>13</v>
      </c>
      <c r="B32" s="32" t="s">
        <v>44</v>
      </c>
      <c r="C32" s="32">
        <v>0.85</v>
      </c>
      <c r="D32" s="33">
        <v>45890.0</v>
      </c>
    </row>
    <row r="33">
      <c r="A33" s="31" t="s">
        <v>21</v>
      </c>
      <c r="B33" s="32" t="s">
        <v>45</v>
      </c>
      <c r="C33" s="32">
        <v>3.6</v>
      </c>
      <c r="D33" s="33">
        <v>45890.0</v>
      </c>
    </row>
    <row r="34">
      <c r="A34" s="31" t="s">
        <v>21</v>
      </c>
      <c r="B34" s="32" t="s">
        <v>46</v>
      </c>
      <c r="C34" s="32">
        <v>5.0</v>
      </c>
      <c r="D34" s="33">
        <v>45891.0</v>
      </c>
    </row>
    <row r="35">
      <c r="A35" s="31" t="s">
        <v>21</v>
      </c>
      <c r="B35" s="32" t="s">
        <v>47</v>
      </c>
      <c r="C35" s="32">
        <v>2.8</v>
      </c>
      <c r="D35" s="33">
        <v>45891.0</v>
      </c>
    </row>
    <row r="36">
      <c r="A36" s="31" t="s">
        <v>21</v>
      </c>
      <c r="B36" s="32" t="s">
        <v>48</v>
      </c>
      <c r="C36" s="32">
        <v>5.0</v>
      </c>
      <c r="D36" s="33">
        <v>45892.0</v>
      </c>
    </row>
    <row r="37">
      <c r="A37" s="31" t="s">
        <v>21</v>
      </c>
      <c r="B37" s="32" t="s">
        <v>49</v>
      </c>
      <c r="C37" s="32">
        <v>3.2</v>
      </c>
      <c r="D37" s="34">
        <v>45894.0</v>
      </c>
    </row>
    <row r="38">
      <c r="A38" s="31" t="s">
        <v>6</v>
      </c>
      <c r="B38" s="32" t="s">
        <v>50</v>
      </c>
      <c r="C38" s="32">
        <v>1.0</v>
      </c>
      <c r="D38" s="34">
        <v>45894.0</v>
      </c>
    </row>
    <row r="39">
      <c r="A39" s="31" t="s">
        <v>6</v>
      </c>
      <c r="B39" s="32" t="s">
        <v>51</v>
      </c>
      <c r="C39" s="32">
        <v>1.85</v>
      </c>
      <c r="D39" s="34">
        <v>45894.0</v>
      </c>
    </row>
    <row r="40">
      <c r="A40" s="31" t="s">
        <v>6</v>
      </c>
      <c r="B40" s="32" t="s">
        <v>52</v>
      </c>
      <c r="C40" s="32">
        <v>1.35</v>
      </c>
      <c r="D40" s="34">
        <v>45894.0</v>
      </c>
    </row>
    <row r="41">
      <c r="A41" s="31" t="s">
        <v>6</v>
      </c>
      <c r="B41" s="32" t="s">
        <v>53</v>
      </c>
      <c r="C41" s="32">
        <v>2.52</v>
      </c>
      <c r="D41" s="34">
        <v>45894.0</v>
      </c>
    </row>
    <row r="42">
      <c r="A42" s="31" t="s">
        <v>21</v>
      </c>
      <c r="B42" s="32" t="s">
        <v>54</v>
      </c>
      <c r="C42" s="32">
        <v>3.25</v>
      </c>
      <c r="D42" s="34">
        <v>45894.0</v>
      </c>
    </row>
    <row r="43">
      <c r="A43" s="31" t="s">
        <v>21</v>
      </c>
      <c r="B43" s="32" t="s">
        <v>55</v>
      </c>
      <c r="C43" s="32">
        <v>7.52</v>
      </c>
      <c r="D43" s="34">
        <v>45894.0</v>
      </c>
    </row>
    <row r="44">
      <c r="A44" s="31" t="s">
        <v>6</v>
      </c>
      <c r="B44" s="32" t="s">
        <v>56</v>
      </c>
      <c r="C44" s="32">
        <v>0.35</v>
      </c>
      <c r="D44" s="34">
        <v>45897.0</v>
      </c>
    </row>
    <row r="45">
      <c r="A45" s="31" t="s">
        <v>21</v>
      </c>
      <c r="B45" s="32" t="s">
        <v>57</v>
      </c>
      <c r="C45" s="32">
        <v>2.42</v>
      </c>
      <c r="D45" s="34">
        <v>45898.0</v>
      </c>
    </row>
    <row r="46">
      <c r="A46" s="31" t="s">
        <v>21</v>
      </c>
      <c r="B46" s="32" t="s">
        <v>58</v>
      </c>
      <c r="C46" s="32">
        <v>3.15</v>
      </c>
      <c r="D46" s="34">
        <v>45898.0</v>
      </c>
    </row>
    <row r="47">
      <c r="A47" s="31" t="s">
        <v>21</v>
      </c>
      <c r="B47" s="32" t="s">
        <v>59</v>
      </c>
      <c r="C47" s="32">
        <v>4.76</v>
      </c>
      <c r="D47" s="34">
        <v>45898.0</v>
      </c>
    </row>
    <row r="48">
      <c r="A48" s="31" t="s">
        <v>21</v>
      </c>
      <c r="B48" s="32" t="s">
        <v>60</v>
      </c>
      <c r="C48" s="32">
        <v>1.21</v>
      </c>
      <c r="D48" s="34">
        <v>45898.0</v>
      </c>
    </row>
    <row r="49">
      <c r="A49" s="31" t="s">
        <v>21</v>
      </c>
      <c r="B49" s="32" t="s">
        <v>61</v>
      </c>
      <c r="C49" s="32">
        <v>1.57</v>
      </c>
      <c r="D49" s="34">
        <v>45898.0</v>
      </c>
    </row>
    <row r="50">
      <c r="A50" s="31" t="s">
        <v>21</v>
      </c>
      <c r="B50" s="32" t="s">
        <v>62</v>
      </c>
      <c r="C50" s="32">
        <v>2.78</v>
      </c>
      <c r="D50" s="34">
        <v>45898.0</v>
      </c>
    </row>
    <row r="51">
      <c r="A51" s="31" t="s">
        <v>13</v>
      </c>
      <c r="B51" s="32" t="s">
        <v>63</v>
      </c>
      <c r="C51" s="32">
        <v>0.5</v>
      </c>
      <c r="D51" s="34">
        <v>45898.0</v>
      </c>
    </row>
    <row r="52">
      <c r="A52" s="31" t="s">
        <v>21</v>
      </c>
      <c r="B52" s="32" t="s">
        <v>64</v>
      </c>
      <c r="C52" s="32">
        <v>1.63</v>
      </c>
      <c r="D52" s="34">
        <v>45898.0</v>
      </c>
    </row>
    <row r="53">
      <c r="A53" s="31" t="s">
        <v>21</v>
      </c>
      <c r="B53" s="32" t="s">
        <v>65</v>
      </c>
      <c r="C53" s="32">
        <v>0.56</v>
      </c>
      <c r="D53" s="34">
        <v>45898.0</v>
      </c>
    </row>
    <row r="54">
      <c r="A54" s="31" t="s">
        <v>21</v>
      </c>
      <c r="B54" s="32" t="s">
        <v>66</v>
      </c>
      <c r="C54" s="32">
        <v>2.89</v>
      </c>
      <c r="D54" s="34">
        <v>45902.0</v>
      </c>
    </row>
    <row r="55">
      <c r="A55" s="31" t="s">
        <v>21</v>
      </c>
      <c r="B55" s="32" t="s">
        <v>67</v>
      </c>
      <c r="C55" s="32">
        <v>2.27</v>
      </c>
      <c r="D55" s="34">
        <v>45902.0</v>
      </c>
    </row>
    <row r="56">
      <c r="A56" s="31" t="s">
        <v>21</v>
      </c>
      <c r="B56" s="32" t="s">
        <v>68</v>
      </c>
      <c r="C56" s="32">
        <v>4.18</v>
      </c>
      <c r="D56" s="34">
        <v>45903.0</v>
      </c>
    </row>
    <row r="57">
      <c r="A57" s="31" t="s">
        <v>21</v>
      </c>
      <c r="B57" s="32" t="s">
        <v>69</v>
      </c>
      <c r="C57" s="32">
        <v>3.76</v>
      </c>
      <c r="D57" s="34">
        <v>45904.0</v>
      </c>
    </row>
    <row r="58">
      <c r="A58" s="31" t="s">
        <v>21</v>
      </c>
      <c r="B58" s="32" t="s">
        <v>70</v>
      </c>
      <c r="C58" s="32">
        <v>2.12</v>
      </c>
      <c r="D58" s="34">
        <v>45905.0</v>
      </c>
    </row>
    <row r="59">
      <c r="A59" s="31" t="s">
        <v>21</v>
      </c>
      <c r="B59" s="32" t="s">
        <v>71</v>
      </c>
      <c r="C59" s="32">
        <v>8.56</v>
      </c>
      <c r="D59" s="34">
        <v>45905.0</v>
      </c>
    </row>
    <row r="60">
      <c r="A60" s="31" t="s">
        <v>6</v>
      </c>
      <c r="B60" s="32" t="s">
        <v>72</v>
      </c>
      <c r="C60" s="32">
        <v>9.56</v>
      </c>
      <c r="D60" s="35" t="s">
        <v>73</v>
      </c>
    </row>
    <row r="61">
      <c r="A61" s="31" t="s">
        <v>6</v>
      </c>
      <c r="B61" s="32" t="s">
        <v>75</v>
      </c>
      <c r="C61" s="32">
        <v>2.53</v>
      </c>
      <c r="D61" s="34">
        <v>45908.0</v>
      </c>
    </row>
    <row r="62">
      <c r="A62" s="31" t="s">
        <v>6</v>
      </c>
      <c r="B62" s="32" t="s">
        <v>76</v>
      </c>
      <c r="C62" s="32">
        <v>2.59</v>
      </c>
      <c r="D62" s="34">
        <v>45909.0</v>
      </c>
    </row>
    <row r="63">
      <c r="A63" s="31" t="s">
        <v>6</v>
      </c>
      <c r="B63" s="32" t="s">
        <v>77</v>
      </c>
      <c r="C63" s="32">
        <v>3.12</v>
      </c>
      <c r="D63" s="34">
        <v>45911.0</v>
      </c>
    </row>
    <row r="64">
      <c r="A64" s="31" t="s">
        <v>6</v>
      </c>
      <c r="B64" s="32" t="s">
        <v>78</v>
      </c>
      <c r="C64" s="32">
        <v>5.32</v>
      </c>
      <c r="D64" s="34">
        <v>45912.0</v>
      </c>
    </row>
    <row r="65">
      <c r="A65" s="31" t="s">
        <v>21</v>
      </c>
      <c r="B65" s="32" t="s">
        <v>79</v>
      </c>
      <c r="C65" s="32">
        <v>8.95</v>
      </c>
      <c r="D65" s="34">
        <v>45908.0</v>
      </c>
    </row>
    <row r="66">
      <c r="A66" s="31" t="s">
        <v>21</v>
      </c>
      <c r="B66" s="32" t="s">
        <v>71</v>
      </c>
      <c r="C66" s="32">
        <v>9.34</v>
      </c>
      <c r="D66" s="34">
        <v>45909.0</v>
      </c>
    </row>
    <row r="67">
      <c r="A67" s="31" t="s">
        <v>21</v>
      </c>
      <c r="B67" s="32" t="s">
        <v>80</v>
      </c>
      <c r="C67" s="32">
        <v>3.52</v>
      </c>
      <c r="D67" s="34">
        <v>45911.0</v>
      </c>
    </row>
    <row r="68">
      <c r="A68" s="31" t="s">
        <v>21</v>
      </c>
      <c r="B68" s="32" t="s">
        <v>81</v>
      </c>
      <c r="C68" s="32">
        <v>2.43</v>
      </c>
      <c r="D68" s="34">
        <v>45911.0</v>
      </c>
    </row>
    <row r="69">
      <c r="A69" s="31" t="s">
        <v>21</v>
      </c>
      <c r="B69" s="32" t="s">
        <v>82</v>
      </c>
      <c r="C69" s="32">
        <v>2.91</v>
      </c>
      <c r="D69" s="34">
        <v>45915.0</v>
      </c>
    </row>
    <row r="70">
      <c r="A70" s="31" t="s">
        <v>21</v>
      </c>
      <c r="B70" s="32" t="s">
        <v>83</v>
      </c>
      <c r="C70" s="32">
        <v>4.11</v>
      </c>
      <c r="D70" s="34">
        <v>45915.0</v>
      </c>
    </row>
    <row r="71">
      <c r="A71" s="31" t="s">
        <v>21</v>
      </c>
      <c r="B71" s="32" t="s">
        <v>84</v>
      </c>
      <c r="C71" s="32">
        <v>6.52</v>
      </c>
      <c r="D71" s="34">
        <v>45918.0</v>
      </c>
    </row>
    <row r="72">
      <c r="A72" s="31" t="s">
        <v>21</v>
      </c>
      <c r="B72" s="32" t="s">
        <v>85</v>
      </c>
      <c r="C72" s="32">
        <v>6.98</v>
      </c>
      <c r="D72" s="34">
        <v>45919.0</v>
      </c>
    </row>
    <row r="73">
      <c r="A73" s="31" t="s">
        <v>21</v>
      </c>
      <c r="B73" s="32" t="s">
        <v>86</v>
      </c>
      <c r="C73" s="32">
        <v>3.82</v>
      </c>
      <c r="D73" s="34">
        <v>45925.0</v>
      </c>
    </row>
    <row r="74">
      <c r="A74" s="31" t="s">
        <v>17</v>
      </c>
      <c r="B74" s="32" t="s">
        <v>87</v>
      </c>
      <c r="C74" s="32">
        <v>2.25</v>
      </c>
      <c r="D74" s="34">
        <v>45922.0</v>
      </c>
    </row>
    <row r="75">
      <c r="A75" s="31" t="s">
        <v>17</v>
      </c>
      <c r="B75" s="32" t="s">
        <v>88</v>
      </c>
      <c r="C75" s="32">
        <v>2.72</v>
      </c>
      <c r="D75" s="34">
        <v>45923.0</v>
      </c>
    </row>
    <row r="76">
      <c r="A76" s="31" t="s">
        <v>17</v>
      </c>
      <c r="B76" s="32" t="s">
        <v>89</v>
      </c>
      <c r="C76" s="32">
        <v>1.62</v>
      </c>
      <c r="D76" s="34">
        <v>45924.0</v>
      </c>
    </row>
    <row r="77">
      <c r="A77" s="31" t="s">
        <v>23</v>
      </c>
      <c r="B77" s="32" t="s">
        <v>90</v>
      </c>
      <c r="C77" s="32">
        <v>2.1</v>
      </c>
      <c r="D77" s="34">
        <v>45925.0</v>
      </c>
    </row>
    <row r="78">
      <c r="A78" s="31" t="s">
        <v>16</v>
      </c>
      <c r="B78" s="32" t="s">
        <v>91</v>
      </c>
      <c r="C78" s="32">
        <v>0.52</v>
      </c>
      <c r="D78" s="34">
        <v>45912.0</v>
      </c>
    </row>
    <row r="79">
      <c r="A79" s="31" t="s">
        <v>13</v>
      </c>
      <c r="B79" s="32" t="s">
        <v>92</v>
      </c>
      <c r="C79" s="32">
        <v>0.63</v>
      </c>
      <c r="D79" s="34">
        <v>45919.0</v>
      </c>
    </row>
    <row r="80">
      <c r="A80" s="31" t="s">
        <v>6</v>
      </c>
      <c r="B80" s="32" t="s">
        <v>93</v>
      </c>
      <c r="C80" s="32">
        <v>1.98</v>
      </c>
      <c r="D80" s="34">
        <v>45918.0</v>
      </c>
    </row>
    <row r="81">
      <c r="A81" s="31" t="s">
        <v>6</v>
      </c>
      <c r="B81" s="32" t="s">
        <v>94</v>
      </c>
      <c r="C81" s="32">
        <v>1.72</v>
      </c>
      <c r="D81" s="34">
        <v>45915.0</v>
      </c>
    </row>
    <row r="82">
      <c r="A82" s="31" t="s">
        <v>6</v>
      </c>
      <c r="B82" s="32" t="s">
        <v>95</v>
      </c>
      <c r="C82" s="32">
        <v>4.15</v>
      </c>
      <c r="D82" s="34">
        <v>45915.0</v>
      </c>
    </row>
    <row r="83">
      <c r="A83" s="31" t="s">
        <v>6</v>
      </c>
      <c r="B83" s="32" t="s">
        <v>96</v>
      </c>
      <c r="C83" s="32">
        <v>4.52</v>
      </c>
      <c r="D83" s="34">
        <v>45922.0</v>
      </c>
    </row>
    <row r="84">
      <c r="A84" s="31" t="s">
        <v>6</v>
      </c>
      <c r="B84" s="32" t="s">
        <v>97</v>
      </c>
      <c r="C84" s="32">
        <v>5.62</v>
      </c>
      <c r="D84" s="34">
        <v>45929.0</v>
      </c>
    </row>
    <row r="85">
      <c r="A85" s="31" t="s">
        <v>6</v>
      </c>
      <c r="B85" s="32" t="s">
        <v>98</v>
      </c>
      <c r="C85" s="32">
        <v>1.62</v>
      </c>
      <c r="D85" s="34">
        <v>45919.0</v>
      </c>
    </row>
    <row r="86">
      <c r="A86" s="31" t="s">
        <v>6</v>
      </c>
      <c r="B86" s="32" t="s">
        <v>99</v>
      </c>
      <c r="C86" s="32">
        <v>5.63</v>
      </c>
      <c r="D86" s="34">
        <v>45922.0</v>
      </c>
    </row>
    <row r="87">
      <c r="A87" s="31" t="s">
        <v>6</v>
      </c>
      <c r="B87" s="32" t="s">
        <v>100</v>
      </c>
      <c r="C87" s="32">
        <v>3.96</v>
      </c>
      <c r="D87" s="34">
        <v>45918.0</v>
      </c>
    </row>
    <row r="88">
      <c r="A88" s="31" t="s">
        <v>6</v>
      </c>
      <c r="B88" s="32" t="s">
        <v>101</v>
      </c>
      <c r="C88" s="32">
        <v>0.92</v>
      </c>
      <c r="D88" s="34">
        <v>45922.0</v>
      </c>
    </row>
    <row r="89">
      <c r="A89" s="31" t="s">
        <v>6</v>
      </c>
      <c r="B89" s="32" t="s">
        <v>102</v>
      </c>
      <c r="C89" s="32">
        <v>0.96</v>
      </c>
      <c r="D89" s="34">
        <v>45925.0</v>
      </c>
    </row>
    <row r="90">
      <c r="A90" s="31" t="s">
        <v>6</v>
      </c>
      <c r="B90" s="32" t="s">
        <v>103</v>
      </c>
      <c r="C90" s="32">
        <v>2.5</v>
      </c>
      <c r="D90" s="34">
        <v>45915.0</v>
      </c>
    </row>
    <row r="91">
      <c r="A91" s="31" t="s">
        <v>6</v>
      </c>
      <c r="B91" s="32" t="s">
        <v>103</v>
      </c>
      <c r="C91" s="32">
        <v>2.5</v>
      </c>
      <c r="D91" s="34">
        <v>45922.0</v>
      </c>
    </row>
    <row r="92">
      <c r="A92" s="31" t="s">
        <v>6</v>
      </c>
      <c r="B92" s="32" t="s">
        <v>103</v>
      </c>
      <c r="C92" s="32">
        <v>2.5</v>
      </c>
      <c r="D92" s="34">
        <v>45929.0</v>
      </c>
    </row>
    <row r="93">
      <c r="A93" s="31" t="s">
        <v>6</v>
      </c>
      <c r="B93" s="32" t="s">
        <v>104</v>
      </c>
      <c r="C93" s="32">
        <v>1.26</v>
      </c>
      <c r="D93" s="34">
        <v>45930.0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8" t="s">
        <v>0</v>
      </c>
      <c r="B1" s="29" t="s">
        <v>1</v>
      </c>
      <c r="C1" s="29" t="s">
        <v>2</v>
      </c>
      <c r="D1" s="30" t="s">
        <v>3</v>
      </c>
    </row>
    <row r="2">
      <c r="A2" s="31" t="s">
        <v>6</v>
      </c>
      <c r="B2" s="32" t="s">
        <v>7</v>
      </c>
      <c r="C2" s="32">
        <v>3.0</v>
      </c>
      <c r="D2" s="33">
        <v>45860.0</v>
      </c>
    </row>
    <row r="3">
      <c r="A3" s="31" t="s">
        <v>6</v>
      </c>
      <c r="B3" s="32" t="s">
        <v>8</v>
      </c>
      <c r="C3" s="32">
        <v>1.0</v>
      </c>
      <c r="D3" s="33">
        <v>45861.0</v>
      </c>
    </row>
    <row r="4">
      <c r="A4" s="31" t="s">
        <v>6</v>
      </c>
      <c r="B4" s="32" t="s">
        <v>9</v>
      </c>
      <c r="C4" s="32">
        <v>1.1</v>
      </c>
      <c r="D4" s="33">
        <v>45862.0</v>
      </c>
    </row>
    <row r="5">
      <c r="A5" s="31" t="s">
        <v>6</v>
      </c>
      <c r="B5" s="32" t="s">
        <v>11</v>
      </c>
      <c r="C5" s="32">
        <v>2.1</v>
      </c>
      <c r="D5" s="33">
        <v>45866.0</v>
      </c>
    </row>
    <row r="6">
      <c r="A6" s="31" t="s">
        <v>13</v>
      </c>
      <c r="B6" s="32" t="s">
        <v>14</v>
      </c>
      <c r="C6" s="32">
        <v>0.5</v>
      </c>
      <c r="D6" s="33">
        <v>45868.0</v>
      </c>
    </row>
    <row r="7">
      <c r="A7" s="31" t="s">
        <v>6</v>
      </c>
      <c r="B7" s="32" t="s">
        <v>15</v>
      </c>
      <c r="C7" s="32">
        <v>1.8</v>
      </c>
      <c r="D7" s="33">
        <v>45868.0</v>
      </c>
    </row>
    <row r="8">
      <c r="A8" s="31" t="s">
        <v>17</v>
      </c>
      <c r="B8" s="32" t="s">
        <v>18</v>
      </c>
      <c r="C8" s="32">
        <v>1.1</v>
      </c>
      <c r="D8" s="34">
        <v>45870.0</v>
      </c>
    </row>
    <row r="9">
      <c r="A9" s="31" t="s">
        <v>6</v>
      </c>
      <c r="B9" s="32" t="s">
        <v>19</v>
      </c>
      <c r="C9" s="32">
        <v>3.5</v>
      </c>
      <c r="D9" s="34">
        <v>45873.0</v>
      </c>
    </row>
    <row r="10">
      <c r="A10" s="31" t="s">
        <v>6</v>
      </c>
      <c r="B10" s="32" t="s">
        <v>20</v>
      </c>
      <c r="C10" s="32">
        <v>1.5</v>
      </c>
      <c r="D10" s="34">
        <v>45873.0</v>
      </c>
    </row>
    <row r="11">
      <c r="A11" s="31" t="s">
        <v>6</v>
      </c>
      <c r="B11" s="32" t="s">
        <v>22</v>
      </c>
      <c r="C11" s="32">
        <v>2.0</v>
      </c>
      <c r="D11" s="34">
        <v>45874.0</v>
      </c>
    </row>
    <row r="12">
      <c r="A12" s="31" t="s">
        <v>6</v>
      </c>
      <c r="B12" s="32" t="s">
        <v>24</v>
      </c>
      <c r="C12" s="32">
        <v>2.0</v>
      </c>
      <c r="D12" s="34">
        <v>45875.0</v>
      </c>
    </row>
    <row r="13">
      <c r="A13" s="31" t="s">
        <v>6</v>
      </c>
      <c r="B13" s="32" t="s">
        <v>26</v>
      </c>
      <c r="C13" s="32">
        <v>1.9</v>
      </c>
      <c r="D13" s="34">
        <v>45877.0</v>
      </c>
    </row>
    <row r="14">
      <c r="A14" s="31" t="s">
        <v>13</v>
      </c>
      <c r="B14" s="32" t="s">
        <v>27</v>
      </c>
      <c r="C14" s="32">
        <v>0.8</v>
      </c>
      <c r="D14" s="34">
        <v>45877.0</v>
      </c>
    </row>
    <row r="15">
      <c r="A15" s="31" t="s">
        <v>6</v>
      </c>
      <c r="B15" s="32" t="s">
        <v>28</v>
      </c>
      <c r="C15" s="32">
        <v>1.4</v>
      </c>
      <c r="D15" s="34">
        <v>45877.0</v>
      </c>
    </row>
    <row r="16">
      <c r="A16" s="31" t="s">
        <v>6</v>
      </c>
      <c r="B16" s="32" t="s">
        <v>29</v>
      </c>
      <c r="C16" s="32">
        <v>1.0</v>
      </c>
      <c r="D16" s="34">
        <v>45880.0</v>
      </c>
    </row>
    <row r="17">
      <c r="A17" s="31" t="s">
        <v>6</v>
      </c>
      <c r="B17" s="32" t="s">
        <v>30</v>
      </c>
      <c r="C17" s="32">
        <v>1.5</v>
      </c>
      <c r="D17" s="34">
        <v>45880.0</v>
      </c>
    </row>
    <row r="18">
      <c r="A18" s="31" t="s">
        <v>6</v>
      </c>
      <c r="B18" s="32" t="s">
        <v>31</v>
      </c>
      <c r="C18" s="32">
        <v>4.0</v>
      </c>
      <c r="D18" s="34">
        <v>45880.0</v>
      </c>
    </row>
    <row r="19">
      <c r="A19" s="31" t="s">
        <v>6</v>
      </c>
      <c r="B19" s="32" t="s">
        <v>32</v>
      </c>
      <c r="C19" s="32">
        <v>1.5</v>
      </c>
      <c r="D19" s="34">
        <v>45880.0</v>
      </c>
    </row>
    <row r="20">
      <c r="A20" s="31" t="s">
        <v>17</v>
      </c>
      <c r="B20" s="32" t="s">
        <v>33</v>
      </c>
      <c r="C20" s="32">
        <v>0.5</v>
      </c>
      <c r="D20" s="34">
        <v>45881.0</v>
      </c>
    </row>
    <row r="21">
      <c r="A21" s="31" t="s">
        <v>6</v>
      </c>
      <c r="B21" s="32" t="s">
        <v>34</v>
      </c>
      <c r="C21" s="32">
        <v>1.5</v>
      </c>
      <c r="D21" s="34">
        <v>45881.0</v>
      </c>
    </row>
    <row r="22">
      <c r="A22" s="31" t="s">
        <v>6</v>
      </c>
      <c r="B22" s="32" t="s">
        <v>35</v>
      </c>
      <c r="C22" s="32">
        <v>2.0</v>
      </c>
      <c r="D22" s="34">
        <v>45881.0</v>
      </c>
    </row>
    <row r="23">
      <c r="A23" s="31" t="s">
        <v>6</v>
      </c>
      <c r="B23" s="32" t="s">
        <v>36</v>
      </c>
      <c r="C23" s="32">
        <v>1.0</v>
      </c>
      <c r="D23" s="33">
        <v>45883.0</v>
      </c>
    </row>
    <row r="24">
      <c r="A24" s="31" t="s">
        <v>13</v>
      </c>
      <c r="B24" s="32" t="s">
        <v>27</v>
      </c>
      <c r="C24" s="32">
        <v>0.7</v>
      </c>
      <c r="D24" s="33">
        <v>45884.0</v>
      </c>
    </row>
    <row r="25">
      <c r="A25" s="31" t="s">
        <v>6</v>
      </c>
      <c r="B25" s="32" t="s">
        <v>37</v>
      </c>
      <c r="C25" s="32">
        <v>0.9</v>
      </c>
      <c r="D25" s="33">
        <v>45884.0</v>
      </c>
    </row>
    <row r="26">
      <c r="A26" s="31" t="s">
        <v>6</v>
      </c>
      <c r="B26" s="32" t="s">
        <v>38</v>
      </c>
      <c r="C26" s="32">
        <v>1.4</v>
      </c>
      <c r="D26" s="33">
        <v>45887.0</v>
      </c>
    </row>
    <row r="27">
      <c r="A27" s="31" t="s">
        <v>6</v>
      </c>
      <c r="B27" s="32" t="s">
        <v>39</v>
      </c>
      <c r="C27" s="32">
        <v>3.5</v>
      </c>
      <c r="D27" s="33">
        <v>45887.0</v>
      </c>
    </row>
    <row r="28">
      <c r="A28" s="31" t="s">
        <v>6</v>
      </c>
      <c r="B28" s="32" t="s">
        <v>40</v>
      </c>
      <c r="C28" s="32">
        <v>3.6</v>
      </c>
      <c r="D28" s="33">
        <v>45887.0</v>
      </c>
    </row>
    <row r="29">
      <c r="A29" s="31" t="s">
        <v>6</v>
      </c>
      <c r="B29" s="32" t="s">
        <v>41</v>
      </c>
      <c r="C29" s="32">
        <v>2.0</v>
      </c>
      <c r="D29" s="33">
        <v>45887.0</v>
      </c>
    </row>
    <row r="30">
      <c r="A30" s="31" t="s">
        <v>6</v>
      </c>
      <c r="B30" s="32" t="s">
        <v>42</v>
      </c>
      <c r="C30" s="32">
        <v>1.6</v>
      </c>
      <c r="D30" s="33">
        <v>45887.0</v>
      </c>
    </row>
    <row r="31">
      <c r="A31" s="31" t="s">
        <v>13</v>
      </c>
      <c r="B31" s="32" t="s">
        <v>43</v>
      </c>
      <c r="C31" s="32">
        <v>0.85</v>
      </c>
      <c r="D31" s="33">
        <v>45890.0</v>
      </c>
    </row>
    <row r="32">
      <c r="A32" s="31" t="s">
        <v>13</v>
      </c>
      <c r="B32" s="32" t="s">
        <v>44</v>
      </c>
      <c r="C32" s="32">
        <v>0.85</v>
      </c>
      <c r="D32" s="33">
        <v>45890.0</v>
      </c>
    </row>
    <row r="33">
      <c r="A33" s="31" t="s">
        <v>21</v>
      </c>
      <c r="B33" s="32" t="s">
        <v>45</v>
      </c>
      <c r="C33" s="32">
        <v>3.6</v>
      </c>
      <c r="D33" s="33">
        <v>45890.0</v>
      </c>
    </row>
    <row r="34">
      <c r="A34" s="31" t="s">
        <v>21</v>
      </c>
      <c r="B34" s="32" t="s">
        <v>46</v>
      </c>
      <c r="C34" s="32">
        <v>5.0</v>
      </c>
      <c r="D34" s="33">
        <v>45891.0</v>
      </c>
    </row>
    <row r="35">
      <c r="A35" s="31" t="s">
        <v>21</v>
      </c>
      <c r="B35" s="32" t="s">
        <v>47</v>
      </c>
      <c r="C35" s="32">
        <v>2.8</v>
      </c>
      <c r="D35" s="33">
        <v>45891.0</v>
      </c>
    </row>
    <row r="36">
      <c r="A36" s="31" t="s">
        <v>21</v>
      </c>
      <c r="B36" s="32" t="s">
        <v>48</v>
      </c>
      <c r="C36" s="32">
        <v>5.0</v>
      </c>
      <c r="D36" s="33">
        <v>45892.0</v>
      </c>
    </row>
    <row r="37">
      <c r="A37" s="31" t="s">
        <v>21</v>
      </c>
      <c r="B37" s="32" t="s">
        <v>49</v>
      </c>
      <c r="C37" s="32">
        <v>3.2</v>
      </c>
      <c r="D37" s="34">
        <v>45894.0</v>
      </c>
    </row>
    <row r="38">
      <c r="A38" s="31" t="s">
        <v>6</v>
      </c>
      <c r="B38" s="32" t="s">
        <v>50</v>
      </c>
      <c r="C38" s="32">
        <v>1.0</v>
      </c>
      <c r="D38" s="34">
        <v>45894.0</v>
      </c>
    </row>
    <row r="39">
      <c r="A39" s="31" t="s">
        <v>6</v>
      </c>
      <c r="B39" s="32" t="s">
        <v>51</v>
      </c>
      <c r="C39" s="32">
        <v>1.85</v>
      </c>
      <c r="D39" s="34">
        <v>45894.0</v>
      </c>
    </row>
    <row r="40">
      <c r="A40" s="31" t="s">
        <v>6</v>
      </c>
      <c r="B40" s="32" t="s">
        <v>52</v>
      </c>
      <c r="C40" s="32">
        <v>1.35</v>
      </c>
      <c r="D40" s="34">
        <v>45894.0</v>
      </c>
    </row>
    <row r="41">
      <c r="A41" s="31" t="s">
        <v>6</v>
      </c>
      <c r="B41" s="32" t="s">
        <v>53</v>
      </c>
      <c r="C41" s="32">
        <v>2.52</v>
      </c>
      <c r="D41" s="34">
        <v>45894.0</v>
      </c>
    </row>
    <row r="42">
      <c r="A42" s="31" t="s">
        <v>21</v>
      </c>
      <c r="B42" s="32" t="s">
        <v>54</v>
      </c>
      <c r="C42" s="32">
        <v>3.25</v>
      </c>
      <c r="D42" s="34">
        <v>45894.0</v>
      </c>
    </row>
    <row r="43">
      <c r="A43" s="31" t="s">
        <v>21</v>
      </c>
      <c r="B43" s="32" t="s">
        <v>55</v>
      </c>
      <c r="C43" s="32">
        <v>7.52</v>
      </c>
      <c r="D43" s="34">
        <v>45894.0</v>
      </c>
    </row>
    <row r="44">
      <c r="A44" s="31" t="s">
        <v>6</v>
      </c>
      <c r="B44" s="32" t="s">
        <v>56</v>
      </c>
      <c r="C44" s="32">
        <v>0.35</v>
      </c>
      <c r="D44" s="34">
        <v>45897.0</v>
      </c>
    </row>
    <row r="45">
      <c r="A45" s="31" t="s">
        <v>21</v>
      </c>
      <c r="B45" s="32" t="s">
        <v>57</v>
      </c>
      <c r="C45" s="32">
        <v>2.42</v>
      </c>
      <c r="D45" s="34">
        <v>45898.0</v>
      </c>
    </row>
    <row r="46">
      <c r="A46" s="31" t="s">
        <v>21</v>
      </c>
      <c r="B46" s="32" t="s">
        <v>58</v>
      </c>
      <c r="C46" s="32">
        <v>3.15</v>
      </c>
      <c r="D46" s="34">
        <v>45898.0</v>
      </c>
    </row>
    <row r="47">
      <c r="A47" s="31" t="s">
        <v>21</v>
      </c>
      <c r="B47" s="32" t="s">
        <v>59</v>
      </c>
      <c r="C47" s="32">
        <v>4.76</v>
      </c>
      <c r="D47" s="34">
        <v>45898.0</v>
      </c>
    </row>
    <row r="48">
      <c r="A48" s="31" t="s">
        <v>21</v>
      </c>
      <c r="B48" s="32" t="s">
        <v>60</v>
      </c>
      <c r="C48" s="32">
        <v>1.21</v>
      </c>
      <c r="D48" s="34">
        <v>45898.0</v>
      </c>
    </row>
    <row r="49">
      <c r="A49" s="31" t="s">
        <v>21</v>
      </c>
      <c r="B49" s="32" t="s">
        <v>61</v>
      </c>
      <c r="C49" s="32">
        <v>1.57</v>
      </c>
      <c r="D49" s="34">
        <v>45898.0</v>
      </c>
    </row>
    <row r="50">
      <c r="A50" s="31" t="s">
        <v>21</v>
      </c>
      <c r="B50" s="32" t="s">
        <v>62</v>
      </c>
      <c r="C50" s="32">
        <v>2.78</v>
      </c>
      <c r="D50" s="34">
        <v>45898.0</v>
      </c>
    </row>
    <row r="51">
      <c r="A51" s="31" t="s">
        <v>13</v>
      </c>
      <c r="B51" s="32" t="s">
        <v>63</v>
      </c>
      <c r="C51" s="32">
        <v>0.5</v>
      </c>
      <c r="D51" s="34">
        <v>45898.0</v>
      </c>
    </row>
    <row r="52">
      <c r="A52" s="31" t="s">
        <v>21</v>
      </c>
      <c r="B52" s="32" t="s">
        <v>64</v>
      </c>
      <c r="C52" s="32">
        <v>1.63</v>
      </c>
      <c r="D52" s="34">
        <v>45898.0</v>
      </c>
    </row>
    <row r="53">
      <c r="A53" s="31" t="s">
        <v>21</v>
      </c>
      <c r="B53" s="32" t="s">
        <v>65</v>
      </c>
      <c r="C53" s="32">
        <v>0.56</v>
      </c>
      <c r="D53" s="34">
        <v>45898.0</v>
      </c>
    </row>
    <row r="54">
      <c r="A54" s="31" t="s">
        <v>21</v>
      </c>
      <c r="B54" s="32" t="s">
        <v>66</v>
      </c>
      <c r="C54" s="32">
        <v>2.89</v>
      </c>
      <c r="D54" s="34">
        <v>45902.0</v>
      </c>
    </row>
    <row r="55">
      <c r="A55" s="31" t="s">
        <v>21</v>
      </c>
      <c r="B55" s="32" t="s">
        <v>67</v>
      </c>
      <c r="C55" s="32">
        <v>2.27</v>
      </c>
      <c r="D55" s="34">
        <v>45902.0</v>
      </c>
    </row>
    <row r="56">
      <c r="A56" s="31" t="s">
        <v>21</v>
      </c>
      <c r="B56" s="32" t="s">
        <v>68</v>
      </c>
      <c r="C56" s="32">
        <v>4.18</v>
      </c>
      <c r="D56" s="34">
        <v>45903.0</v>
      </c>
    </row>
    <row r="57">
      <c r="A57" s="31" t="s">
        <v>21</v>
      </c>
      <c r="B57" s="32" t="s">
        <v>69</v>
      </c>
      <c r="C57" s="32">
        <v>3.76</v>
      </c>
      <c r="D57" s="34">
        <v>45904.0</v>
      </c>
    </row>
    <row r="58">
      <c r="A58" s="31" t="s">
        <v>21</v>
      </c>
      <c r="B58" s="32" t="s">
        <v>70</v>
      </c>
      <c r="C58" s="32">
        <v>2.12</v>
      </c>
      <c r="D58" s="34">
        <v>45905.0</v>
      </c>
    </row>
    <row r="59">
      <c r="A59" s="31" t="s">
        <v>21</v>
      </c>
      <c r="B59" s="32" t="s">
        <v>71</v>
      </c>
      <c r="C59" s="32">
        <v>8.56</v>
      </c>
      <c r="D59" s="34">
        <v>45905.0</v>
      </c>
    </row>
    <row r="60">
      <c r="A60" s="31" t="s">
        <v>6</v>
      </c>
      <c r="B60" s="32" t="s">
        <v>72</v>
      </c>
      <c r="C60" s="32">
        <v>9.56</v>
      </c>
      <c r="D60" s="35" t="s">
        <v>73</v>
      </c>
    </row>
    <row r="61">
      <c r="A61" s="31" t="s">
        <v>6</v>
      </c>
      <c r="B61" s="32" t="s">
        <v>75</v>
      </c>
      <c r="C61" s="32">
        <v>2.53</v>
      </c>
      <c r="D61" s="34">
        <v>45908.0</v>
      </c>
    </row>
    <row r="62">
      <c r="A62" s="31" t="s">
        <v>6</v>
      </c>
      <c r="B62" s="32" t="s">
        <v>76</v>
      </c>
      <c r="C62" s="32">
        <v>2.59</v>
      </c>
      <c r="D62" s="34">
        <v>45909.0</v>
      </c>
    </row>
    <row r="63">
      <c r="A63" s="31" t="s">
        <v>6</v>
      </c>
      <c r="B63" s="32" t="s">
        <v>77</v>
      </c>
      <c r="C63" s="32">
        <v>3.12</v>
      </c>
      <c r="D63" s="34">
        <v>45911.0</v>
      </c>
    </row>
    <row r="64">
      <c r="A64" s="31" t="s">
        <v>6</v>
      </c>
      <c r="B64" s="32" t="s">
        <v>78</v>
      </c>
      <c r="C64" s="32">
        <v>5.32</v>
      </c>
      <c r="D64" s="34">
        <v>45912.0</v>
      </c>
    </row>
    <row r="65">
      <c r="A65" s="31" t="s">
        <v>21</v>
      </c>
      <c r="B65" s="32" t="s">
        <v>79</v>
      </c>
      <c r="C65" s="32">
        <v>8.95</v>
      </c>
      <c r="D65" s="34">
        <v>45908.0</v>
      </c>
    </row>
    <row r="66">
      <c r="A66" s="31" t="s">
        <v>21</v>
      </c>
      <c r="B66" s="32" t="s">
        <v>71</v>
      </c>
      <c r="C66" s="32">
        <v>9.34</v>
      </c>
      <c r="D66" s="34">
        <v>45909.0</v>
      </c>
    </row>
    <row r="67">
      <c r="A67" s="31" t="s">
        <v>21</v>
      </c>
      <c r="B67" s="32" t="s">
        <v>80</v>
      </c>
      <c r="C67" s="32">
        <v>3.52</v>
      </c>
      <c r="D67" s="34">
        <v>45911.0</v>
      </c>
    </row>
    <row r="68">
      <c r="A68" s="31" t="s">
        <v>21</v>
      </c>
      <c r="B68" s="32" t="s">
        <v>81</v>
      </c>
      <c r="C68" s="32">
        <v>2.43</v>
      </c>
      <c r="D68" s="34">
        <v>45911.0</v>
      </c>
    </row>
    <row r="69">
      <c r="A69" s="31" t="s">
        <v>21</v>
      </c>
      <c r="B69" s="32" t="s">
        <v>82</v>
      </c>
      <c r="C69" s="32">
        <v>2.91</v>
      </c>
      <c r="D69" s="34">
        <v>45915.0</v>
      </c>
    </row>
    <row r="70">
      <c r="A70" s="31" t="s">
        <v>21</v>
      </c>
      <c r="B70" s="32" t="s">
        <v>83</v>
      </c>
      <c r="C70" s="32">
        <v>4.11</v>
      </c>
      <c r="D70" s="34">
        <v>45915.0</v>
      </c>
    </row>
    <row r="71">
      <c r="A71" s="31" t="s">
        <v>21</v>
      </c>
      <c r="B71" s="32" t="s">
        <v>84</v>
      </c>
      <c r="C71" s="32">
        <v>6.52</v>
      </c>
      <c r="D71" s="34">
        <v>45918.0</v>
      </c>
    </row>
    <row r="72">
      <c r="A72" s="31" t="s">
        <v>21</v>
      </c>
      <c r="B72" s="32" t="s">
        <v>85</v>
      </c>
      <c r="C72" s="32">
        <v>6.98</v>
      </c>
      <c r="D72" s="34">
        <v>45919.0</v>
      </c>
    </row>
    <row r="73">
      <c r="A73" s="31" t="s">
        <v>21</v>
      </c>
      <c r="B73" s="32" t="s">
        <v>86</v>
      </c>
      <c r="C73" s="32">
        <v>3.82</v>
      </c>
      <c r="D73" s="34">
        <v>45925.0</v>
      </c>
    </row>
    <row r="74">
      <c r="A74" s="31" t="s">
        <v>17</v>
      </c>
      <c r="B74" s="32" t="s">
        <v>87</v>
      </c>
      <c r="C74" s="32">
        <v>2.25</v>
      </c>
      <c r="D74" s="34">
        <v>45922.0</v>
      </c>
    </row>
    <row r="75">
      <c r="A75" s="31" t="s">
        <v>17</v>
      </c>
      <c r="B75" s="32" t="s">
        <v>88</v>
      </c>
      <c r="C75" s="32">
        <v>2.72</v>
      </c>
      <c r="D75" s="34">
        <v>45923.0</v>
      </c>
    </row>
    <row r="76">
      <c r="A76" s="31" t="s">
        <v>17</v>
      </c>
      <c r="B76" s="32" t="s">
        <v>89</v>
      </c>
      <c r="C76" s="32">
        <v>1.62</v>
      </c>
      <c r="D76" s="34">
        <v>45924.0</v>
      </c>
    </row>
    <row r="77">
      <c r="A77" s="31" t="s">
        <v>23</v>
      </c>
      <c r="B77" s="32" t="s">
        <v>90</v>
      </c>
      <c r="C77" s="32">
        <v>2.1</v>
      </c>
      <c r="D77" s="34">
        <v>45925.0</v>
      </c>
    </row>
    <row r="78">
      <c r="A78" s="31" t="s">
        <v>16</v>
      </c>
      <c r="B78" s="32" t="s">
        <v>91</v>
      </c>
      <c r="C78" s="32">
        <v>0.52</v>
      </c>
      <c r="D78" s="34">
        <v>45912.0</v>
      </c>
    </row>
    <row r="79">
      <c r="A79" s="31" t="s">
        <v>13</v>
      </c>
      <c r="B79" s="32" t="s">
        <v>92</v>
      </c>
      <c r="C79" s="32">
        <v>0.63</v>
      </c>
      <c r="D79" s="34">
        <v>45919.0</v>
      </c>
    </row>
    <row r="80">
      <c r="A80" s="31" t="s">
        <v>6</v>
      </c>
      <c r="B80" s="32" t="s">
        <v>93</v>
      </c>
      <c r="C80" s="32">
        <v>1.98</v>
      </c>
      <c r="D80" s="34">
        <v>45918.0</v>
      </c>
    </row>
    <row r="81">
      <c r="A81" s="31" t="s">
        <v>6</v>
      </c>
      <c r="B81" s="32" t="s">
        <v>94</v>
      </c>
      <c r="C81" s="32">
        <v>1.72</v>
      </c>
      <c r="D81" s="34">
        <v>45915.0</v>
      </c>
    </row>
    <row r="82">
      <c r="A82" s="31" t="s">
        <v>6</v>
      </c>
      <c r="B82" s="32" t="s">
        <v>95</v>
      </c>
      <c r="C82" s="32">
        <v>4.15</v>
      </c>
      <c r="D82" s="34">
        <v>45915.0</v>
      </c>
    </row>
    <row r="83">
      <c r="A83" s="31" t="s">
        <v>6</v>
      </c>
      <c r="B83" s="32" t="s">
        <v>96</v>
      </c>
      <c r="C83" s="32">
        <v>4.52</v>
      </c>
      <c r="D83" s="34">
        <v>45922.0</v>
      </c>
    </row>
    <row r="84">
      <c r="A84" s="31" t="s">
        <v>6</v>
      </c>
      <c r="B84" s="32" t="s">
        <v>97</v>
      </c>
      <c r="C84" s="32">
        <v>5.62</v>
      </c>
      <c r="D84" s="34">
        <v>45929.0</v>
      </c>
    </row>
    <row r="85">
      <c r="A85" s="31" t="s">
        <v>6</v>
      </c>
      <c r="B85" s="32" t="s">
        <v>98</v>
      </c>
      <c r="C85" s="32">
        <v>1.62</v>
      </c>
      <c r="D85" s="34">
        <v>45919.0</v>
      </c>
    </row>
    <row r="86">
      <c r="A86" s="31" t="s">
        <v>6</v>
      </c>
      <c r="B86" s="32" t="s">
        <v>99</v>
      </c>
      <c r="C86" s="32">
        <v>5.63</v>
      </c>
      <c r="D86" s="34">
        <v>45922.0</v>
      </c>
    </row>
    <row r="87">
      <c r="A87" s="31" t="s">
        <v>6</v>
      </c>
      <c r="B87" s="32" t="s">
        <v>100</v>
      </c>
      <c r="C87" s="32">
        <v>3.96</v>
      </c>
      <c r="D87" s="34">
        <v>45918.0</v>
      </c>
    </row>
    <row r="88">
      <c r="A88" s="31" t="s">
        <v>6</v>
      </c>
      <c r="B88" s="32" t="s">
        <v>101</v>
      </c>
      <c r="C88" s="32">
        <v>0.92</v>
      </c>
      <c r="D88" s="34">
        <v>45922.0</v>
      </c>
    </row>
    <row r="89">
      <c r="A89" s="31" t="s">
        <v>6</v>
      </c>
      <c r="B89" s="32" t="s">
        <v>102</v>
      </c>
      <c r="C89" s="32">
        <v>0.96</v>
      </c>
      <c r="D89" s="34">
        <v>45925.0</v>
      </c>
    </row>
    <row r="90">
      <c r="A90" s="31" t="s">
        <v>6</v>
      </c>
      <c r="B90" s="32" t="s">
        <v>103</v>
      </c>
      <c r="C90" s="32">
        <v>2.5</v>
      </c>
      <c r="D90" s="34">
        <v>45915.0</v>
      </c>
    </row>
    <row r="91">
      <c r="A91" s="31" t="s">
        <v>6</v>
      </c>
      <c r="B91" s="32" t="s">
        <v>103</v>
      </c>
      <c r="C91" s="32">
        <v>2.5</v>
      </c>
      <c r="D91" s="34">
        <v>45922.0</v>
      </c>
    </row>
    <row r="92">
      <c r="A92" s="31" t="s">
        <v>6</v>
      </c>
      <c r="B92" s="32" t="s">
        <v>103</v>
      </c>
      <c r="C92" s="32">
        <v>2.5</v>
      </c>
      <c r="D92" s="34">
        <v>45929.0</v>
      </c>
    </row>
    <row r="93">
      <c r="A93" s="31" t="s">
        <v>6</v>
      </c>
      <c r="B93" s="32" t="s">
        <v>104</v>
      </c>
      <c r="C93" s="32">
        <v>1.26</v>
      </c>
      <c r="D93" s="34">
        <v>45930.0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</cols>
  <sheetData>
    <row r="1">
      <c r="A1" s="28" t="s">
        <v>0</v>
      </c>
      <c r="B1" s="29" t="s">
        <v>1</v>
      </c>
      <c r="C1" s="29" t="s">
        <v>2</v>
      </c>
      <c r="D1" s="30" t="s">
        <v>3</v>
      </c>
    </row>
    <row r="2">
      <c r="A2" s="31" t="s">
        <v>6</v>
      </c>
      <c r="B2" s="32" t="s">
        <v>7</v>
      </c>
      <c r="C2" s="32">
        <v>3.0</v>
      </c>
      <c r="D2" s="33">
        <v>45860.0</v>
      </c>
    </row>
    <row r="3">
      <c r="A3" s="31" t="s">
        <v>6</v>
      </c>
      <c r="B3" s="32" t="s">
        <v>8</v>
      </c>
      <c r="C3" s="32">
        <v>1.0</v>
      </c>
      <c r="D3" s="33">
        <v>45861.0</v>
      </c>
    </row>
    <row r="4">
      <c r="A4" s="31" t="s">
        <v>6</v>
      </c>
      <c r="B4" s="32" t="s">
        <v>9</v>
      </c>
      <c r="C4" s="32">
        <v>1.1</v>
      </c>
      <c r="D4" s="33">
        <v>45862.0</v>
      </c>
    </row>
    <row r="5">
      <c r="A5" s="31" t="s">
        <v>6</v>
      </c>
      <c r="B5" s="32" t="s">
        <v>11</v>
      </c>
      <c r="C5" s="32">
        <v>2.1</v>
      </c>
      <c r="D5" s="33">
        <v>45866.0</v>
      </c>
    </row>
    <row r="6">
      <c r="A6" s="31" t="s">
        <v>6</v>
      </c>
      <c r="B6" s="32" t="s">
        <v>15</v>
      </c>
      <c r="C6" s="32">
        <v>1.8</v>
      </c>
      <c r="D6" s="33">
        <v>45868.0</v>
      </c>
    </row>
    <row r="7">
      <c r="A7" s="31" t="s">
        <v>6</v>
      </c>
      <c r="B7" s="32" t="s">
        <v>19</v>
      </c>
      <c r="C7" s="32">
        <v>3.5</v>
      </c>
      <c r="D7" s="34">
        <v>45873.0</v>
      </c>
    </row>
    <row r="8">
      <c r="A8" s="31" t="s">
        <v>6</v>
      </c>
      <c r="B8" s="32" t="s">
        <v>20</v>
      </c>
      <c r="C8" s="32">
        <v>1.5</v>
      </c>
      <c r="D8" s="34">
        <v>45873.0</v>
      </c>
    </row>
    <row r="9">
      <c r="A9" s="31" t="s">
        <v>6</v>
      </c>
      <c r="B9" s="32" t="s">
        <v>22</v>
      </c>
      <c r="C9" s="32">
        <v>2.0</v>
      </c>
      <c r="D9" s="34">
        <v>45874.0</v>
      </c>
    </row>
    <row r="10">
      <c r="A10" s="31" t="s">
        <v>6</v>
      </c>
      <c r="B10" s="32" t="s">
        <v>24</v>
      </c>
      <c r="C10" s="32">
        <v>2.0</v>
      </c>
      <c r="D10" s="34">
        <v>45875.0</v>
      </c>
    </row>
    <row r="11">
      <c r="A11" s="31" t="s">
        <v>6</v>
      </c>
      <c r="B11" s="32" t="s">
        <v>26</v>
      </c>
      <c r="C11" s="32">
        <v>1.9</v>
      </c>
      <c r="D11" s="34">
        <v>45877.0</v>
      </c>
    </row>
    <row r="12">
      <c r="A12" s="31" t="s">
        <v>6</v>
      </c>
      <c r="B12" s="32" t="s">
        <v>28</v>
      </c>
      <c r="C12" s="32">
        <v>1.4</v>
      </c>
      <c r="D12" s="34">
        <v>45877.0</v>
      </c>
    </row>
    <row r="13">
      <c r="A13" s="31" t="s">
        <v>6</v>
      </c>
      <c r="B13" s="32" t="s">
        <v>29</v>
      </c>
      <c r="C13" s="32">
        <v>1.0</v>
      </c>
      <c r="D13" s="34">
        <v>45880.0</v>
      </c>
    </row>
    <row r="14">
      <c r="A14" s="31" t="s">
        <v>6</v>
      </c>
      <c r="B14" s="32" t="s">
        <v>30</v>
      </c>
      <c r="C14" s="32">
        <v>1.5</v>
      </c>
      <c r="D14" s="34">
        <v>45880.0</v>
      </c>
    </row>
    <row r="15">
      <c r="A15" s="31" t="s">
        <v>6</v>
      </c>
      <c r="B15" s="32" t="s">
        <v>31</v>
      </c>
      <c r="C15" s="32">
        <v>4.0</v>
      </c>
      <c r="D15" s="34">
        <v>45880.0</v>
      </c>
    </row>
    <row r="16">
      <c r="A16" s="31" t="s">
        <v>6</v>
      </c>
      <c r="B16" s="32" t="s">
        <v>32</v>
      </c>
      <c r="C16" s="32">
        <v>1.5</v>
      </c>
      <c r="D16" s="34">
        <v>45880.0</v>
      </c>
    </row>
    <row r="17">
      <c r="A17" s="31" t="s">
        <v>6</v>
      </c>
      <c r="B17" s="32" t="s">
        <v>34</v>
      </c>
      <c r="C17" s="32">
        <v>1.5</v>
      </c>
      <c r="D17" s="34">
        <v>45881.0</v>
      </c>
    </row>
    <row r="18">
      <c r="A18" s="31" t="s">
        <v>6</v>
      </c>
      <c r="B18" s="32" t="s">
        <v>35</v>
      </c>
      <c r="C18" s="32">
        <v>2.0</v>
      </c>
      <c r="D18" s="34">
        <v>45881.0</v>
      </c>
    </row>
    <row r="19">
      <c r="A19" s="31" t="s">
        <v>6</v>
      </c>
      <c r="B19" s="32" t="s">
        <v>36</v>
      </c>
      <c r="C19" s="32">
        <v>1.0</v>
      </c>
      <c r="D19" s="33">
        <v>45883.0</v>
      </c>
    </row>
    <row r="20">
      <c r="A20" s="31" t="s">
        <v>6</v>
      </c>
      <c r="B20" s="32" t="s">
        <v>37</v>
      </c>
      <c r="C20" s="32">
        <v>0.9</v>
      </c>
      <c r="D20" s="33">
        <v>45884.0</v>
      </c>
    </row>
    <row r="21">
      <c r="A21" s="31" t="s">
        <v>6</v>
      </c>
      <c r="B21" s="32" t="s">
        <v>38</v>
      </c>
      <c r="C21" s="32">
        <v>1.4</v>
      </c>
      <c r="D21" s="33">
        <v>45887.0</v>
      </c>
    </row>
    <row r="22">
      <c r="A22" s="31" t="s">
        <v>6</v>
      </c>
      <c r="B22" s="32" t="s">
        <v>39</v>
      </c>
      <c r="C22" s="32">
        <v>3.5</v>
      </c>
      <c r="D22" s="33">
        <v>45887.0</v>
      </c>
    </row>
    <row r="23">
      <c r="A23" s="31" t="s">
        <v>6</v>
      </c>
      <c r="B23" s="32" t="s">
        <v>40</v>
      </c>
      <c r="C23" s="32">
        <v>3.6</v>
      </c>
      <c r="D23" s="33">
        <v>45887.0</v>
      </c>
    </row>
    <row r="24">
      <c r="A24" s="31" t="s">
        <v>6</v>
      </c>
      <c r="B24" s="32" t="s">
        <v>41</v>
      </c>
      <c r="C24" s="32">
        <v>2.0</v>
      </c>
      <c r="D24" s="33">
        <v>45887.0</v>
      </c>
    </row>
    <row r="25">
      <c r="A25" s="31" t="s">
        <v>6</v>
      </c>
      <c r="B25" s="32" t="s">
        <v>42</v>
      </c>
      <c r="C25" s="32">
        <v>1.6</v>
      </c>
      <c r="D25" s="33">
        <v>45887.0</v>
      </c>
    </row>
    <row r="26">
      <c r="A26" s="31" t="s">
        <v>6</v>
      </c>
      <c r="B26" s="32" t="s">
        <v>50</v>
      </c>
      <c r="C26" s="32">
        <v>1.0</v>
      </c>
      <c r="D26" s="34">
        <v>45894.0</v>
      </c>
    </row>
    <row r="27">
      <c r="A27" s="31" t="s">
        <v>6</v>
      </c>
      <c r="B27" s="32" t="s">
        <v>51</v>
      </c>
      <c r="C27" s="32">
        <v>1.85</v>
      </c>
      <c r="D27" s="34">
        <v>45894.0</v>
      </c>
    </row>
    <row r="28">
      <c r="A28" s="31" t="s">
        <v>6</v>
      </c>
      <c r="B28" s="32" t="s">
        <v>52</v>
      </c>
      <c r="C28" s="32">
        <v>1.35</v>
      </c>
      <c r="D28" s="34">
        <v>45894.0</v>
      </c>
    </row>
    <row r="29">
      <c r="A29" s="31" t="s">
        <v>6</v>
      </c>
      <c r="B29" s="32" t="s">
        <v>53</v>
      </c>
      <c r="C29" s="32">
        <v>2.52</v>
      </c>
      <c r="D29" s="34">
        <v>45894.0</v>
      </c>
    </row>
    <row r="30">
      <c r="A30" s="31" t="s">
        <v>6</v>
      </c>
      <c r="B30" s="32" t="s">
        <v>56</v>
      </c>
      <c r="C30" s="32">
        <v>0.35</v>
      </c>
      <c r="D30" s="34">
        <v>45897.0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0"/>
  </cols>
  <sheetData>
    <row r="1">
      <c r="A1" s="28" t="s">
        <v>0</v>
      </c>
      <c r="B1" s="29" t="s">
        <v>1</v>
      </c>
      <c r="C1" s="29" t="s">
        <v>2</v>
      </c>
      <c r="D1" s="30" t="s">
        <v>3</v>
      </c>
    </row>
    <row r="2">
      <c r="A2" s="31" t="s">
        <v>6</v>
      </c>
      <c r="B2" s="32" t="s">
        <v>7</v>
      </c>
      <c r="C2" s="32">
        <v>3.0</v>
      </c>
      <c r="D2" s="33">
        <v>45860.0</v>
      </c>
    </row>
    <row r="3">
      <c r="A3" s="31" t="s">
        <v>6</v>
      </c>
      <c r="B3" s="32" t="s">
        <v>8</v>
      </c>
      <c r="C3" s="32">
        <v>1.0</v>
      </c>
      <c r="D3" s="33">
        <v>45861.0</v>
      </c>
    </row>
    <row r="4">
      <c r="A4" s="31" t="s">
        <v>6</v>
      </c>
      <c r="B4" s="32" t="s">
        <v>9</v>
      </c>
      <c r="C4" s="32">
        <v>1.1</v>
      </c>
      <c r="D4" s="33">
        <v>45862.0</v>
      </c>
    </row>
    <row r="5">
      <c r="A5" s="31" t="s">
        <v>6</v>
      </c>
      <c r="B5" s="32" t="s">
        <v>11</v>
      </c>
      <c r="C5" s="32">
        <v>2.1</v>
      </c>
      <c r="D5" s="33">
        <v>45866.0</v>
      </c>
    </row>
    <row r="6">
      <c r="A6" s="31" t="s">
        <v>13</v>
      </c>
      <c r="B6" s="32" t="s">
        <v>14</v>
      </c>
      <c r="C6" s="32">
        <v>0.5</v>
      </c>
      <c r="D6" s="33">
        <v>45868.0</v>
      </c>
    </row>
    <row r="7">
      <c r="A7" s="31" t="s">
        <v>6</v>
      </c>
      <c r="B7" s="32" t="s">
        <v>15</v>
      </c>
      <c r="C7" s="32">
        <v>1.8</v>
      </c>
      <c r="D7" s="33">
        <v>45868.0</v>
      </c>
    </row>
    <row r="8">
      <c r="A8" s="31" t="s">
        <v>17</v>
      </c>
      <c r="B8" s="32" t="s">
        <v>18</v>
      </c>
      <c r="C8" s="32">
        <v>1.1</v>
      </c>
      <c r="D8" s="34">
        <v>45870.0</v>
      </c>
    </row>
    <row r="9">
      <c r="A9" s="31" t="s">
        <v>6</v>
      </c>
      <c r="B9" s="32" t="s">
        <v>19</v>
      </c>
      <c r="C9" s="32">
        <v>3.5</v>
      </c>
      <c r="D9" s="34">
        <v>45873.0</v>
      </c>
    </row>
    <row r="10">
      <c r="A10" s="31" t="s">
        <v>6</v>
      </c>
      <c r="B10" s="32" t="s">
        <v>20</v>
      </c>
      <c r="C10" s="32">
        <v>1.5</v>
      </c>
      <c r="D10" s="34">
        <v>45873.0</v>
      </c>
    </row>
    <row r="11">
      <c r="A11" s="31" t="s">
        <v>6</v>
      </c>
      <c r="B11" s="32" t="s">
        <v>22</v>
      </c>
      <c r="C11" s="32">
        <v>2.0</v>
      </c>
      <c r="D11" s="34">
        <v>45874.0</v>
      </c>
    </row>
    <row r="12">
      <c r="A12" s="31" t="s">
        <v>6</v>
      </c>
      <c r="B12" s="32" t="s">
        <v>24</v>
      </c>
      <c r="C12" s="32">
        <v>2.0</v>
      </c>
      <c r="D12" s="34">
        <v>45875.0</v>
      </c>
    </row>
    <row r="13">
      <c r="A13" s="31" t="s">
        <v>6</v>
      </c>
      <c r="B13" s="32" t="s">
        <v>26</v>
      </c>
      <c r="C13" s="32">
        <v>1.9</v>
      </c>
      <c r="D13" s="34">
        <v>45877.0</v>
      </c>
    </row>
    <row r="14">
      <c r="A14" s="31" t="s">
        <v>13</v>
      </c>
      <c r="B14" s="32" t="s">
        <v>27</v>
      </c>
      <c r="C14" s="32">
        <v>0.8</v>
      </c>
      <c r="D14" s="34">
        <v>45877.0</v>
      </c>
    </row>
    <row r="15">
      <c r="A15" s="31" t="s">
        <v>6</v>
      </c>
      <c r="B15" s="32" t="s">
        <v>28</v>
      </c>
      <c r="C15" s="32">
        <v>1.4</v>
      </c>
      <c r="D15" s="34">
        <v>45877.0</v>
      </c>
      <c r="G15" s="7">
        <v>850.0</v>
      </c>
    </row>
    <row r="16">
      <c r="A16" s="31" t="s">
        <v>6</v>
      </c>
      <c r="B16" s="32" t="s">
        <v>29</v>
      </c>
      <c r="C16" s="32">
        <v>1.0</v>
      </c>
      <c r="D16" s="34">
        <v>45880.0</v>
      </c>
      <c r="H16" s="6">
        <f>250*4</f>
        <v>1000</v>
      </c>
    </row>
    <row r="17">
      <c r="A17" s="31" t="s">
        <v>6</v>
      </c>
      <c r="B17" s="32" t="s">
        <v>30</v>
      </c>
      <c r="C17" s="32">
        <v>1.5</v>
      </c>
      <c r="D17" s="34">
        <v>45880.0</v>
      </c>
    </row>
    <row r="18">
      <c r="A18" s="31" t="s">
        <v>6</v>
      </c>
      <c r="B18" s="32" t="s">
        <v>31</v>
      </c>
      <c r="C18" s="32">
        <v>4.0</v>
      </c>
      <c r="D18" s="34">
        <v>45880.0</v>
      </c>
      <c r="G18" s="3">
        <v>20.0</v>
      </c>
    </row>
    <row r="19">
      <c r="A19" s="31" t="s">
        <v>6</v>
      </c>
      <c r="B19" s="32" t="s">
        <v>32</v>
      </c>
      <c r="C19" s="32">
        <v>1.5</v>
      </c>
      <c r="D19" s="34">
        <v>45880.0</v>
      </c>
      <c r="G19" s="3">
        <v>30.0</v>
      </c>
    </row>
    <row r="20">
      <c r="A20" s="31" t="s">
        <v>17</v>
      </c>
      <c r="B20" s="32" t="s">
        <v>33</v>
      </c>
      <c r="C20" s="32">
        <v>0.5</v>
      </c>
      <c r="D20" s="34">
        <v>45881.0</v>
      </c>
    </row>
    <row r="21">
      <c r="A21" s="31" t="s">
        <v>6</v>
      </c>
      <c r="B21" s="32" t="s">
        <v>34</v>
      </c>
      <c r="C21" s="32">
        <v>1.5</v>
      </c>
      <c r="D21" s="34">
        <v>45881.0</v>
      </c>
    </row>
    <row r="22">
      <c r="A22" s="31" t="s">
        <v>6</v>
      </c>
      <c r="B22" s="32" t="s">
        <v>35</v>
      </c>
      <c r="C22" s="32">
        <v>2.0</v>
      </c>
      <c r="D22" s="34">
        <v>45881.0</v>
      </c>
    </row>
    <row r="23">
      <c r="A23" s="31" t="s">
        <v>6</v>
      </c>
      <c r="B23" s="32" t="s">
        <v>36</v>
      </c>
      <c r="C23" s="32">
        <v>1.0</v>
      </c>
      <c r="D23" s="33">
        <v>45883.0</v>
      </c>
    </row>
    <row r="24">
      <c r="A24" s="31" t="s">
        <v>13</v>
      </c>
      <c r="B24" s="32" t="s">
        <v>27</v>
      </c>
      <c r="C24" s="32">
        <v>0.7</v>
      </c>
      <c r="D24" s="33">
        <v>45884.0</v>
      </c>
    </row>
    <row r="25">
      <c r="A25" s="31" t="s">
        <v>6</v>
      </c>
      <c r="B25" s="32" t="s">
        <v>37</v>
      </c>
      <c r="C25" s="32">
        <v>0.9</v>
      </c>
      <c r="D25" s="33">
        <v>45884.0</v>
      </c>
    </row>
    <row r="26">
      <c r="A26" s="31" t="s">
        <v>6</v>
      </c>
      <c r="B26" s="32" t="s">
        <v>38</v>
      </c>
      <c r="C26" s="32">
        <v>1.4</v>
      </c>
      <c r="D26" s="33">
        <v>45887.0</v>
      </c>
    </row>
    <row r="27">
      <c r="A27" s="31" t="s">
        <v>6</v>
      </c>
      <c r="B27" s="32" t="s">
        <v>39</v>
      </c>
      <c r="C27" s="32">
        <v>3.5</v>
      </c>
      <c r="D27" s="33">
        <v>45887.0</v>
      </c>
    </row>
    <row r="28">
      <c r="A28" s="31" t="s">
        <v>6</v>
      </c>
      <c r="B28" s="32" t="s">
        <v>40</v>
      </c>
      <c r="C28" s="32">
        <v>3.6</v>
      </c>
      <c r="D28" s="33">
        <v>45887.0</v>
      </c>
    </row>
    <row r="29">
      <c r="A29" s="31" t="s">
        <v>6</v>
      </c>
      <c r="B29" s="32" t="s">
        <v>41</v>
      </c>
      <c r="C29" s="32">
        <v>2.0</v>
      </c>
      <c r="D29" s="33">
        <v>45887.0</v>
      </c>
    </row>
    <row r="30">
      <c r="A30" s="31" t="s">
        <v>6</v>
      </c>
      <c r="B30" s="32" t="s">
        <v>42</v>
      </c>
      <c r="C30" s="32">
        <v>1.6</v>
      </c>
      <c r="D30" s="33">
        <v>45887.0</v>
      </c>
    </row>
    <row r="31">
      <c r="A31" s="31" t="s">
        <v>13</v>
      </c>
      <c r="B31" s="32" t="s">
        <v>43</v>
      </c>
      <c r="C31" s="32">
        <v>0.85</v>
      </c>
      <c r="D31" s="33">
        <v>45890.0</v>
      </c>
    </row>
    <row r="32">
      <c r="A32" s="31" t="s">
        <v>13</v>
      </c>
      <c r="B32" s="32" t="s">
        <v>44</v>
      </c>
      <c r="C32" s="32">
        <v>0.85</v>
      </c>
      <c r="D32" s="33">
        <v>45890.0</v>
      </c>
    </row>
    <row r="33">
      <c r="A33" s="31" t="s">
        <v>21</v>
      </c>
      <c r="B33" s="32" t="s">
        <v>45</v>
      </c>
      <c r="C33" s="32">
        <v>3.6</v>
      </c>
      <c r="D33" s="33">
        <v>45890.0</v>
      </c>
    </row>
    <row r="34">
      <c r="A34" s="31" t="s">
        <v>21</v>
      </c>
      <c r="B34" s="32" t="s">
        <v>46</v>
      </c>
      <c r="C34" s="32">
        <v>5.0</v>
      </c>
      <c r="D34" s="33">
        <v>45891.0</v>
      </c>
    </row>
    <row r="35">
      <c r="A35" s="31" t="s">
        <v>21</v>
      </c>
      <c r="B35" s="32" t="s">
        <v>47</v>
      </c>
      <c r="C35" s="32">
        <v>2.8</v>
      </c>
      <c r="D35" s="33">
        <v>45891.0</v>
      </c>
    </row>
    <row r="36">
      <c r="A36" s="31" t="s">
        <v>21</v>
      </c>
      <c r="B36" s="32" t="s">
        <v>48</v>
      </c>
      <c r="C36" s="32">
        <v>5.0</v>
      </c>
      <c r="D36" s="33">
        <v>45892.0</v>
      </c>
    </row>
    <row r="37">
      <c r="A37" s="31" t="s">
        <v>21</v>
      </c>
      <c r="B37" s="32" t="s">
        <v>49</v>
      </c>
      <c r="C37" s="32">
        <v>3.2</v>
      </c>
      <c r="D37" s="34">
        <v>45894.0</v>
      </c>
    </row>
    <row r="38">
      <c r="A38" s="31" t="s">
        <v>6</v>
      </c>
      <c r="B38" s="32" t="s">
        <v>50</v>
      </c>
      <c r="C38" s="32">
        <v>1.0</v>
      </c>
      <c r="D38" s="34">
        <v>45894.0</v>
      </c>
    </row>
    <row r="39">
      <c r="A39" s="31" t="s">
        <v>6</v>
      </c>
      <c r="B39" s="32" t="s">
        <v>51</v>
      </c>
      <c r="C39" s="32">
        <v>1.85</v>
      </c>
      <c r="D39" s="34">
        <v>45894.0</v>
      </c>
    </row>
    <row r="40">
      <c r="A40" s="31" t="s">
        <v>6</v>
      </c>
      <c r="B40" s="32" t="s">
        <v>52</v>
      </c>
      <c r="C40" s="32">
        <v>1.35</v>
      </c>
      <c r="D40" s="34">
        <v>45894.0</v>
      </c>
    </row>
    <row r="41">
      <c r="A41" s="31" t="s">
        <v>6</v>
      </c>
      <c r="B41" s="32" t="s">
        <v>53</v>
      </c>
      <c r="C41" s="32">
        <v>2.52</v>
      </c>
      <c r="D41" s="34">
        <v>45894.0</v>
      </c>
    </row>
    <row r="42">
      <c r="A42" s="31" t="s">
        <v>21</v>
      </c>
      <c r="B42" s="32" t="s">
        <v>54</v>
      </c>
      <c r="C42" s="32">
        <v>3.25</v>
      </c>
      <c r="D42" s="34">
        <v>45894.0</v>
      </c>
    </row>
    <row r="43">
      <c r="A43" s="31" t="s">
        <v>21</v>
      </c>
      <c r="B43" s="32" t="s">
        <v>55</v>
      </c>
      <c r="C43" s="32">
        <v>7.52</v>
      </c>
      <c r="D43" s="34">
        <v>45894.0</v>
      </c>
    </row>
    <row r="44">
      <c r="A44" s="31" t="s">
        <v>6</v>
      </c>
      <c r="B44" s="32" t="s">
        <v>56</v>
      </c>
      <c r="C44" s="32">
        <v>0.35</v>
      </c>
      <c r="D44" s="34">
        <v>45897.0</v>
      </c>
    </row>
    <row r="45">
      <c r="A45" s="31" t="s">
        <v>21</v>
      </c>
      <c r="B45" s="32" t="s">
        <v>57</v>
      </c>
      <c r="C45" s="32">
        <v>2.42</v>
      </c>
      <c r="D45" s="34">
        <v>45898.0</v>
      </c>
    </row>
    <row r="46">
      <c r="A46" s="31" t="s">
        <v>21</v>
      </c>
      <c r="B46" s="32" t="s">
        <v>58</v>
      </c>
      <c r="C46" s="32">
        <v>3.15</v>
      </c>
      <c r="D46" s="34">
        <v>45898.0</v>
      </c>
    </row>
    <row r="47">
      <c r="A47" s="31" t="s">
        <v>21</v>
      </c>
      <c r="B47" s="32" t="s">
        <v>59</v>
      </c>
      <c r="C47" s="32">
        <v>4.76</v>
      </c>
      <c r="D47" s="34">
        <v>45898.0</v>
      </c>
    </row>
    <row r="48">
      <c r="A48" s="31" t="s">
        <v>21</v>
      </c>
      <c r="B48" s="32" t="s">
        <v>60</v>
      </c>
      <c r="C48" s="32">
        <v>1.21</v>
      </c>
      <c r="D48" s="34">
        <v>45898.0</v>
      </c>
    </row>
    <row r="49">
      <c r="A49" s="31" t="s">
        <v>21</v>
      </c>
      <c r="B49" s="32" t="s">
        <v>61</v>
      </c>
      <c r="C49" s="32">
        <v>1.57</v>
      </c>
      <c r="D49" s="34">
        <v>45898.0</v>
      </c>
    </row>
    <row r="50">
      <c r="A50" s="31" t="s">
        <v>21</v>
      </c>
      <c r="B50" s="32" t="s">
        <v>62</v>
      </c>
      <c r="C50" s="32">
        <v>2.78</v>
      </c>
      <c r="D50" s="34">
        <v>45898.0</v>
      </c>
    </row>
    <row r="51">
      <c r="A51" s="31" t="s">
        <v>13</v>
      </c>
      <c r="B51" s="32" t="s">
        <v>63</v>
      </c>
      <c r="C51" s="32">
        <v>0.5</v>
      </c>
      <c r="D51" s="34">
        <v>45898.0</v>
      </c>
    </row>
    <row r="52">
      <c r="A52" s="31" t="s">
        <v>21</v>
      </c>
      <c r="B52" s="32" t="s">
        <v>64</v>
      </c>
      <c r="C52" s="32">
        <v>1.63</v>
      </c>
      <c r="D52" s="34">
        <v>45898.0</v>
      </c>
    </row>
    <row r="53">
      <c r="A53" s="31" t="s">
        <v>21</v>
      </c>
      <c r="B53" s="32" t="s">
        <v>65</v>
      </c>
      <c r="C53" s="32">
        <v>0.56</v>
      </c>
      <c r="D53" s="34">
        <v>45898.0</v>
      </c>
    </row>
  </sheetData>
  <drawing r:id="rId1"/>
  <tableParts count="1">
    <tablePart r:id="rId3"/>
  </tableParts>
</worksheet>
</file>